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ystem_Comparison" sheetId="1" state="visible" r:id="rId1"/>
    <sheet xmlns:r="http://schemas.openxmlformats.org/officeDocument/2006/relationships" name="2_Question_Split_Eval" sheetId="2" state="visible" r:id="rId2"/>
    <sheet xmlns:r="http://schemas.openxmlformats.org/officeDocument/2006/relationships" name="3_Pedagogical_Summary" sheetId="3" state="visible" r:id="rId3"/>
    <sheet xmlns:r="http://schemas.openxmlformats.org/officeDocument/2006/relationships" name="4_Tier_And_Error_Stats" sheetId="4" state="visible" r:id="rId4"/>
    <sheet xmlns:r="http://schemas.openxmlformats.org/officeDocument/2006/relationships" name="5_Parsing_Repair_Stats" sheetId="5" state="visible" r:id="rId5"/>
    <sheet xmlns:r="http://schemas.openxmlformats.org/officeDocument/2006/relationships" name="6_Detailed_62_Diagnostics" sheetId="6" state="visible" r:id="rId6"/>
    <sheet xmlns:r="http://schemas.openxmlformats.org/officeDocument/2006/relationships" name="7_Remediation_31_Faulty" sheetId="7" state="visible" r:id="rId7"/>
    <sheet xmlns:r="http://schemas.openxmlformats.org/officeDocument/2006/relationships" name="8_Blind_Human_Grading_Form" sheetId="8" state="visible" r:id="rId8"/>
    <sheet xmlns:r="http://schemas.openxmlformats.org/officeDocument/2006/relationships" name="9_Blind_Decoding_Key"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sheetData>
    <row r="1">
      <c r="A1" s="1" t="inlineStr">
        <is>
          <t>System</t>
        </is>
      </c>
      <c r="B1" s="1" t="inlineStr">
        <is>
          <t>TP</t>
        </is>
      </c>
      <c r="C1" s="1" t="inlineStr">
        <is>
          <t>FN</t>
        </is>
      </c>
      <c r="D1" s="1" t="inlineStr">
        <is>
          <t>TN</t>
        </is>
      </c>
      <c r="E1" s="1" t="inlineStr">
        <is>
          <t>FP</t>
        </is>
      </c>
      <c r="F1" s="1" t="inlineStr">
        <is>
          <t>Sensitivity_%</t>
        </is>
      </c>
      <c r="G1" s="1" t="inlineStr">
        <is>
          <t>Specificity_%</t>
        </is>
      </c>
      <c r="H1" s="1" t="inlineStr">
        <is>
          <t>Precision_%</t>
        </is>
      </c>
      <c r="I1" s="1" t="inlineStr">
        <is>
          <t>Accuracy_%</t>
        </is>
      </c>
      <c r="J1" s="1" t="inlineStr">
        <is>
          <t>Accuracy_95CI</t>
        </is>
      </c>
      <c r="K1" s="1" t="inlineStr">
        <is>
          <t>F1_%</t>
        </is>
      </c>
      <c r="L1" s="1" t="inlineStr">
        <is>
          <t>Loc_On_Caught_%</t>
        </is>
      </c>
      <c r="M1" s="1" t="inlineStr">
        <is>
          <t>Loc_On_AllFaulty_%</t>
        </is>
      </c>
      <c r="N1" s="1" t="inlineStr">
        <is>
          <t>McNemar_p_vs_S0</t>
        </is>
      </c>
    </row>
    <row r="2">
      <c r="A2" t="inlineStr">
        <is>
          <t>S0: Pure LLM Grader (Qwen2.5-7B V5)</t>
        </is>
      </c>
      <c r="B2" t="n">
        <v>30</v>
      </c>
      <c r="C2" t="n">
        <v>1</v>
      </c>
      <c r="D2" t="n">
        <v>15</v>
      </c>
      <c r="E2" t="n">
        <v>16</v>
      </c>
      <c r="F2" t="n">
        <v>96.77</v>
      </c>
      <c r="G2" t="n">
        <v>48.39</v>
      </c>
      <c r="H2" t="n">
        <v>65.22</v>
      </c>
      <c r="I2" t="n">
        <v>72.58</v>
      </c>
      <c r="J2" t="inlineStr">
        <is>
          <t>[61.3%, 83.9%]</t>
        </is>
      </c>
      <c r="K2" t="n">
        <v>77.92</v>
      </c>
      <c r="L2" t="inlineStr">
        <is>
          <t>43.3% (13/30)</t>
        </is>
      </c>
      <c r="M2" t="n">
        <v>41.94</v>
      </c>
      <c r="N2" t="inlineStr">
        <is>
          <t>Baseline</t>
        </is>
      </c>
    </row>
    <row r="3">
      <c r="A3" t="inlineStr">
        <is>
          <t>S1: Naive Regex + Tier-1 Exact</t>
        </is>
      </c>
      <c r="B3" t="n">
        <v>20</v>
      </c>
      <c r="C3" t="n">
        <v>11</v>
      </c>
      <c r="D3" t="n">
        <v>14</v>
      </c>
      <c r="E3" t="n">
        <v>17</v>
      </c>
      <c r="F3" t="n">
        <v>64.52</v>
      </c>
      <c r="G3" t="n">
        <v>45.16</v>
      </c>
      <c r="H3" t="n">
        <v>54.05</v>
      </c>
      <c r="I3" t="n">
        <v>54.84</v>
      </c>
      <c r="J3" t="inlineStr">
        <is>
          <t>[41.9%, 66.1%]</t>
        </is>
      </c>
      <c r="K3" t="n">
        <v>58.82</v>
      </c>
      <c r="L3" t="inlineStr">
        <is>
          <t>40.0% (8/20)</t>
        </is>
      </c>
      <c r="M3" t="n">
        <v>25.81</v>
      </c>
      <c r="N3" t="n">
        <v>0.043285</v>
      </c>
    </row>
    <row r="4">
      <c r="A4" t="inlineStr">
        <is>
          <t>S2a: Pure LLM Step Parser + Two-Tier SymPy</t>
        </is>
      </c>
      <c r="B4" t="n">
        <v>24</v>
      </c>
      <c r="C4" t="n">
        <v>7</v>
      </c>
      <c r="D4" t="n">
        <v>24</v>
      </c>
      <c r="E4" t="n">
        <v>7</v>
      </c>
      <c r="F4" t="n">
        <v>77.42</v>
      </c>
      <c r="G4" t="n">
        <v>77.42</v>
      </c>
      <c r="H4" t="n">
        <v>77.42</v>
      </c>
      <c r="I4" t="n">
        <v>77.42</v>
      </c>
      <c r="J4" t="inlineStr">
        <is>
          <t>[66.1%, 87.1%]</t>
        </is>
      </c>
      <c r="K4" t="n">
        <v>77.42</v>
      </c>
      <c r="L4" t="inlineStr">
        <is>
          <t>66.7% (16/24)</t>
        </is>
      </c>
      <c r="M4" t="n">
        <v>51.61</v>
      </c>
      <c r="N4" t="n">
        <v>0.690038</v>
      </c>
    </row>
    <row r="5">
      <c r="A5" t="inlineStr">
        <is>
          <t>S2b: Hybrid Parser + Tier-1 Exact Only</t>
        </is>
      </c>
      <c r="B5" t="n">
        <v>31</v>
      </c>
      <c r="C5" t="n">
        <v>0</v>
      </c>
      <c r="D5" t="n">
        <v>19</v>
      </c>
      <c r="E5" t="n">
        <v>12</v>
      </c>
      <c r="F5" t="n">
        <v>100</v>
      </c>
      <c r="G5" t="n">
        <v>61.29</v>
      </c>
      <c r="H5" t="n">
        <v>72.09</v>
      </c>
      <c r="I5" t="n">
        <v>80.65000000000001</v>
      </c>
      <c r="J5" t="inlineStr">
        <is>
          <t>[71.0%, 90.3%]</t>
        </is>
      </c>
      <c r="K5" t="n">
        <v>83.78</v>
      </c>
      <c r="L5" t="inlineStr">
        <is>
          <t>90.3% (28/31)</t>
        </is>
      </c>
      <c r="M5" t="n">
        <v>90.31999999999999</v>
      </c>
      <c r="N5" t="n">
        <v>0.301758</v>
      </c>
    </row>
    <row r="6">
      <c r="A6" t="inlineStr">
        <is>
          <t>S3: Proposed Hybrid + Two-Tier Metrology</t>
        </is>
      </c>
      <c r="B6" t="n">
        <v>31</v>
      </c>
      <c r="C6" t="n">
        <v>0</v>
      </c>
      <c r="D6" t="n">
        <v>30</v>
      </c>
      <c r="E6" t="n">
        <v>1</v>
      </c>
      <c r="F6" t="n">
        <v>100</v>
      </c>
      <c r="G6" t="n">
        <v>96.77</v>
      </c>
      <c r="H6" t="n">
        <v>96.88</v>
      </c>
      <c r="I6" t="n">
        <v>98.39</v>
      </c>
      <c r="J6" t="inlineStr">
        <is>
          <t>[95.2%, 100.0%]</t>
        </is>
      </c>
      <c r="K6" t="n">
        <v>98.41</v>
      </c>
      <c r="L6" t="inlineStr">
        <is>
          <t>100.0% (31/31)</t>
        </is>
      </c>
      <c r="M6" t="n">
        <v>100</v>
      </c>
      <c r="N6" t="n">
        <v>0.000145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Split</t>
        </is>
      </c>
      <c r="B1" s="1" t="inlineStr">
        <is>
          <t>System</t>
        </is>
      </c>
      <c r="C1" s="1" t="inlineStr">
        <is>
          <t>TP</t>
        </is>
      </c>
      <c r="D1" s="1" t="inlineStr">
        <is>
          <t>FN</t>
        </is>
      </c>
      <c r="E1" s="1" t="inlineStr">
        <is>
          <t>TN</t>
        </is>
      </c>
      <c r="F1" s="1" t="inlineStr">
        <is>
          <t>FP</t>
        </is>
      </c>
      <c r="G1" s="1" t="inlineStr">
        <is>
          <t>Sensitivity_%</t>
        </is>
      </c>
      <c r="H1" s="1" t="inlineStr">
        <is>
          <t>Specificity_%</t>
        </is>
      </c>
      <c r="I1" s="1" t="inlineStr">
        <is>
          <t>Precision_%</t>
        </is>
      </c>
      <c r="J1" s="1" t="inlineStr">
        <is>
          <t>Accuracy_%</t>
        </is>
      </c>
      <c r="K1" s="1" t="inlineStr">
        <is>
          <t>Accuracy_95CI</t>
        </is>
      </c>
      <c r="L1" s="1" t="inlineStr">
        <is>
          <t>F1_%</t>
        </is>
      </c>
      <c r="M1" s="1" t="inlineStr">
        <is>
          <t>Loc_On_Caught_%</t>
        </is>
      </c>
      <c r="N1" s="1" t="inlineStr">
        <is>
          <t>Loc_On_AllFaulty_%</t>
        </is>
      </c>
      <c r="O1" s="1" t="inlineStr">
        <is>
          <t>McNemar_p_vs_S0</t>
        </is>
      </c>
    </row>
    <row r="2">
      <c r="A2" t="inlineStr">
        <is>
          <t>Calibration_Split (11 Odd Q, N=35)</t>
        </is>
      </c>
      <c r="B2" t="inlineStr">
        <is>
          <t>S0: Pure LLM Grader (Qwen2.5-7B V5)</t>
        </is>
      </c>
      <c r="C2" t="n">
        <v>16</v>
      </c>
      <c r="D2" t="n">
        <v>0</v>
      </c>
      <c r="E2" t="n">
        <v>9</v>
      </c>
      <c r="F2" t="n">
        <v>10</v>
      </c>
      <c r="G2" t="n">
        <v>100</v>
      </c>
      <c r="H2" t="n">
        <v>47.37</v>
      </c>
      <c r="I2" t="n">
        <v>61.54</v>
      </c>
      <c r="J2" t="n">
        <v>71.43000000000001</v>
      </c>
      <c r="K2" t="inlineStr">
        <is>
          <t>[57.1%, 85.7%]</t>
        </is>
      </c>
      <c r="L2" t="n">
        <v>76.19</v>
      </c>
      <c r="M2" t="inlineStr">
        <is>
          <t>37.5% (6/16)</t>
        </is>
      </c>
      <c r="N2" t="n">
        <v>37.5</v>
      </c>
      <c r="O2" t="inlineStr">
        <is>
          <t>Baseline</t>
        </is>
      </c>
    </row>
    <row r="3">
      <c r="A3" t="inlineStr">
        <is>
          <t>Calibration_Split (11 Odd Q, N=35)</t>
        </is>
      </c>
      <c r="B3" t="inlineStr">
        <is>
          <t>S1: Naive Regex + Tier-1 Exact</t>
        </is>
      </c>
      <c r="C3" t="n">
        <v>13</v>
      </c>
      <c r="D3" t="n">
        <v>3</v>
      </c>
      <c r="E3" t="n">
        <v>11</v>
      </c>
      <c r="F3" t="n">
        <v>8</v>
      </c>
      <c r="G3" t="n">
        <v>81.25</v>
      </c>
      <c r="H3" t="n">
        <v>57.89</v>
      </c>
      <c r="I3" t="n">
        <v>61.9</v>
      </c>
      <c r="J3" t="n">
        <v>68.56999999999999</v>
      </c>
      <c r="K3" t="inlineStr">
        <is>
          <t>[51.4%, 82.9%]</t>
        </is>
      </c>
      <c r="L3" t="n">
        <v>70.27</v>
      </c>
      <c r="M3" t="inlineStr">
        <is>
          <t>38.5% (5/13)</t>
        </is>
      </c>
      <c r="N3" t="n">
        <v>31.25</v>
      </c>
      <c r="O3" t="n">
        <v>1</v>
      </c>
    </row>
    <row r="4">
      <c r="A4" t="inlineStr">
        <is>
          <t>Calibration_Split (11 Odd Q, N=35)</t>
        </is>
      </c>
      <c r="B4" t="inlineStr">
        <is>
          <t>S2a: Pure LLM Step Parser + Two-Tier SymPy</t>
        </is>
      </c>
      <c r="C4" t="n">
        <v>14</v>
      </c>
      <c r="D4" t="n">
        <v>2</v>
      </c>
      <c r="E4" t="n">
        <v>16</v>
      </c>
      <c r="F4" t="n">
        <v>3</v>
      </c>
      <c r="G4" t="n">
        <v>87.5</v>
      </c>
      <c r="H4" t="n">
        <v>84.20999999999999</v>
      </c>
      <c r="I4" t="n">
        <v>82.34999999999999</v>
      </c>
      <c r="J4" t="n">
        <v>85.70999999999999</v>
      </c>
      <c r="K4" t="inlineStr">
        <is>
          <t>[74.3%, 97.1%]</t>
        </is>
      </c>
      <c r="L4" t="n">
        <v>84.84999999999999</v>
      </c>
      <c r="M4" t="inlineStr">
        <is>
          <t>64.3% (9/14)</t>
        </is>
      </c>
      <c r="N4" t="n">
        <v>56.25</v>
      </c>
      <c r="O4" t="n">
        <v>0.226562</v>
      </c>
    </row>
    <row r="5">
      <c r="A5" t="inlineStr">
        <is>
          <t>Calibration_Split (11 Odd Q, N=35)</t>
        </is>
      </c>
      <c r="B5" t="inlineStr">
        <is>
          <t>S2b: Hybrid Parser + Tier-1 Exact Only</t>
        </is>
      </c>
      <c r="C5" t="n">
        <v>16</v>
      </c>
      <c r="D5" t="n">
        <v>0</v>
      </c>
      <c r="E5" t="n">
        <v>12</v>
      </c>
      <c r="F5" t="n">
        <v>7</v>
      </c>
      <c r="G5" t="n">
        <v>100</v>
      </c>
      <c r="H5" t="n">
        <v>63.16</v>
      </c>
      <c r="I5" t="n">
        <v>69.56999999999999</v>
      </c>
      <c r="J5" t="n">
        <v>80</v>
      </c>
      <c r="K5" t="inlineStr">
        <is>
          <t>[65.7%, 91.4%]</t>
        </is>
      </c>
      <c r="L5" t="n">
        <v>82.05</v>
      </c>
      <c r="M5" t="inlineStr">
        <is>
          <t>81.2% (13/16)</t>
        </is>
      </c>
      <c r="N5" t="n">
        <v>81.25</v>
      </c>
      <c r="O5" t="n">
        <v>0.548828</v>
      </c>
    </row>
    <row r="6">
      <c r="A6" t="inlineStr">
        <is>
          <t>Calibration_Split (11 Odd Q, N=35)</t>
        </is>
      </c>
      <c r="B6" t="inlineStr">
        <is>
          <t>S3: Proposed Hybrid + Two-Tier Metrology</t>
        </is>
      </c>
      <c r="C6" t="n">
        <v>16</v>
      </c>
      <c r="D6" t="n">
        <v>0</v>
      </c>
      <c r="E6" t="n">
        <v>18</v>
      </c>
      <c r="F6" t="n">
        <v>1</v>
      </c>
      <c r="G6" t="n">
        <v>100</v>
      </c>
      <c r="H6" t="n">
        <v>94.73999999999999</v>
      </c>
      <c r="I6" t="n">
        <v>94.12</v>
      </c>
      <c r="J6" t="n">
        <v>97.14</v>
      </c>
      <c r="K6" t="inlineStr">
        <is>
          <t>[91.4%, 100.0%]</t>
        </is>
      </c>
      <c r="L6" t="n">
        <v>96.97</v>
      </c>
      <c r="M6" t="inlineStr">
        <is>
          <t>100.0% (16/16)</t>
        </is>
      </c>
      <c r="N6" t="n">
        <v>100</v>
      </c>
      <c r="O6" t="n">
        <v>0.011719</v>
      </c>
    </row>
    <row r="7">
      <c r="A7" t="inlineStr">
        <is>
          <t>HeldOut_Unseen_Test (11 Even Q, N=27)</t>
        </is>
      </c>
      <c r="B7" t="inlineStr">
        <is>
          <t>S0: Pure LLM Grader (Qwen2.5-7B V5)</t>
        </is>
      </c>
      <c r="C7" t="n">
        <v>14</v>
      </c>
      <c r="D7" t="n">
        <v>1</v>
      </c>
      <c r="E7" t="n">
        <v>6</v>
      </c>
      <c r="F7" t="n">
        <v>6</v>
      </c>
      <c r="G7" t="n">
        <v>93.33</v>
      </c>
      <c r="H7" t="n">
        <v>50</v>
      </c>
      <c r="I7" t="n">
        <v>70</v>
      </c>
      <c r="J7" t="n">
        <v>74.06999999999999</v>
      </c>
      <c r="K7" t="inlineStr">
        <is>
          <t>[55.6%, 88.9%]</t>
        </is>
      </c>
      <c r="L7" t="n">
        <v>80</v>
      </c>
      <c r="M7" t="inlineStr">
        <is>
          <t>50.0% (7/14)</t>
        </is>
      </c>
      <c r="N7" t="n">
        <v>46.67</v>
      </c>
      <c r="O7" t="inlineStr">
        <is>
          <t>Baseline</t>
        </is>
      </c>
    </row>
    <row r="8">
      <c r="A8" t="inlineStr">
        <is>
          <t>HeldOut_Unseen_Test (11 Even Q, N=27)</t>
        </is>
      </c>
      <c r="B8" t="inlineStr">
        <is>
          <t>S1: Naive Regex + Tier-1 Exact</t>
        </is>
      </c>
      <c r="C8" t="n">
        <v>7</v>
      </c>
      <c r="D8" t="n">
        <v>8</v>
      </c>
      <c r="E8" t="n">
        <v>3</v>
      </c>
      <c r="F8" t="n">
        <v>9</v>
      </c>
      <c r="G8" t="n">
        <v>46.67</v>
      </c>
      <c r="H8" t="n">
        <v>25</v>
      </c>
      <c r="I8" t="n">
        <v>43.75</v>
      </c>
      <c r="J8" t="n">
        <v>37.04</v>
      </c>
      <c r="K8" t="inlineStr">
        <is>
          <t>[18.5%, 55.6%]</t>
        </is>
      </c>
      <c r="L8" t="n">
        <v>45.16</v>
      </c>
      <c r="M8" t="inlineStr">
        <is>
          <t>42.9% (3/7)</t>
        </is>
      </c>
      <c r="N8" t="n">
        <v>20</v>
      </c>
      <c r="O8" t="n">
        <v>0.006348</v>
      </c>
    </row>
    <row r="9">
      <c r="A9" t="inlineStr">
        <is>
          <t>HeldOut_Unseen_Test (11 Even Q, N=27)</t>
        </is>
      </c>
      <c r="B9" t="inlineStr">
        <is>
          <t>S2a: Pure LLM Step Parser + Two-Tier SymPy</t>
        </is>
      </c>
      <c r="C9" t="n">
        <v>10</v>
      </c>
      <c r="D9" t="n">
        <v>5</v>
      </c>
      <c r="E9" t="n">
        <v>8</v>
      </c>
      <c r="F9" t="n">
        <v>4</v>
      </c>
      <c r="G9" t="n">
        <v>66.67</v>
      </c>
      <c r="H9" t="n">
        <v>66.67</v>
      </c>
      <c r="I9" t="n">
        <v>71.43000000000001</v>
      </c>
      <c r="J9" t="n">
        <v>66.67</v>
      </c>
      <c r="K9" t="inlineStr">
        <is>
          <t>[48.1%, 85.2%]</t>
        </is>
      </c>
      <c r="L9" t="n">
        <v>68.97</v>
      </c>
      <c r="M9" t="inlineStr">
        <is>
          <t>70.0% (7/10)</t>
        </is>
      </c>
      <c r="N9" t="n">
        <v>46.67</v>
      </c>
      <c r="O9" t="n">
        <v>0.790527</v>
      </c>
    </row>
    <row r="10">
      <c r="A10" t="inlineStr">
        <is>
          <t>HeldOut_Unseen_Test (11 Even Q, N=27)</t>
        </is>
      </c>
      <c r="B10" t="inlineStr">
        <is>
          <t>S2b: Hybrid Parser + Tier-1 Exact Only</t>
        </is>
      </c>
      <c r="C10" t="n">
        <v>15</v>
      </c>
      <c r="D10" t="n">
        <v>0</v>
      </c>
      <c r="E10" t="n">
        <v>7</v>
      </c>
      <c r="F10" t="n">
        <v>5</v>
      </c>
      <c r="G10" t="n">
        <v>100</v>
      </c>
      <c r="H10" t="n">
        <v>58.33</v>
      </c>
      <c r="I10" t="n">
        <v>75</v>
      </c>
      <c r="J10" t="n">
        <v>81.48</v>
      </c>
      <c r="K10" t="inlineStr">
        <is>
          <t>[66.7%, 92.6%]</t>
        </is>
      </c>
      <c r="L10" t="n">
        <v>85.70999999999999</v>
      </c>
      <c r="M10" t="inlineStr">
        <is>
          <t>100.0% (15/15)</t>
        </is>
      </c>
      <c r="N10" t="n">
        <v>100</v>
      </c>
      <c r="O10" t="n">
        <v>0.625</v>
      </c>
    </row>
    <row r="11">
      <c r="A11" t="inlineStr">
        <is>
          <t>HeldOut_Unseen_Test (11 Even Q, N=27)</t>
        </is>
      </c>
      <c r="B11" t="inlineStr">
        <is>
          <t>S3: Proposed Hybrid + Two-Tier Metrology</t>
        </is>
      </c>
      <c r="C11" t="n">
        <v>15</v>
      </c>
      <c r="D11" t="n">
        <v>0</v>
      </c>
      <c r="E11" t="n">
        <v>12</v>
      </c>
      <c r="F11" t="n">
        <v>0</v>
      </c>
      <c r="G11" t="n">
        <v>100</v>
      </c>
      <c r="H11" t="n">
        <v>100</v>
      </c>
      <c r="I11" t="n">
        <v>100</v>
      </c>
      <c r="J11" t="n">
        <v>100</v>
      </c>
      <c r="K11" t="inlineStr">
        <is>
          <t>[100.0%, 100.0%]</t>
        </is>
      </c>
      <c r="L11" t="n">
        <v>100</v>
      </c>
      <c r="M11" t="inlineStr">
        <is>
          <t>100.0% (15/15)</t>
        </is>
      </c>
      <c r="N11" t="n">
        <v>100</v>
      </c>
      <c r="O11" t="n">
        <v>0.015625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Dimension</t>
        </is>
      </c>
      <c r="B1" s="1" t="inlineStr">
        <is>
          <t>Pure_LLM_Tutor_S0</t>
        </is>
      </c>
      <c r="C1" s="1" t="inlineStr">
        <is>
          <t>Proposed_NeuroSymbolic_Tutor_S3</t>
        </is>
      </c>
    </row>
    <row r="2">
      <c r="A2" t="inlineStr">
        <is>
          <t>Verdict Sensitivity (Recall on 31 Faulty)</t>
        </is>
      </c>
      <c r="B2" t="inlineStr">
        <is>
          <t>96.8% (30/31)</t>
        </is>
      </c>
      <c r="C2" t="inlineStr">
        <is>
          <t>100.0% (31/31)</t>
        </is>
      </c>
    </row>
    <row r="3">
      <c r="A3" t="inlineStr">
        <is>
          <t>Verdict Specificity (Accept on 31 Correct)</t>
        </is>
      </c>
      <c r="B3" t="inlineStr">
        <is>
          <t>48.4% (15/31)</t>
        </is>
      </c>
      <c r="C3" t="inlineStr">
        <is>
          <t>96.8% (30/31)</t>
        </is>
      </c>
    </row>
    <row r="4">
      <c r="A4" t="inlineStr">
        <is>
          <t>First-Error Localization (on Caught Faulty)</t>
        </is>
      </c>
      <c r="B4" t="inlineStr">
        <is>
          <t>43.3% (13/30)</t>
        </is>
      </c>
      <c r="C4" t="inlineStr">
        <is>
          <t>100.0% (31/31)</t>
        </is>
      </c>
    </row>
    <row r="5">
      <c r="A5" t="inlineStr">
        <is>
          <t>Vietnamese Language Hygiene (Zero CJK Leakage)</t>
        </is>
      </c>
      <c r="B5" t="inlineStr">
        <is>
          <t>100.0% (30/30)</t>
        </is>
      </c>
      <c r="C5" t="inlineStr">
        <is>
          <t>100.0% (31/31)</t>
        </is>
      </c>
    </row>
    <row r="6">
      <c r="A6" t="inlineStr">
        <is>
          <t>Anchor-Faithful Remediation (Expert Human Grade)</t>
        </is>
      </c>
      <c r="B6">
        <f>'9_Blind_Decoding_Key'!D33</f>
        <v/>
      </c>
      <c r="C6">
        <f>'9_Blind_Decoding_Key'!F33</f>
        <v/>
      </c>
    </row>
    <row r="7">
      <c r="A7" t="inlineStr">
        <is>
          <t>Pedagogical Usefulness Mean (1-3 Blind Human Rubric)</t>
        </is>
      </c>
      <c r="B7">
        <f>'9_Blind_Decoding_Key'!E33</f>
        <v/>
      </c>
      <c r="C7">
        <f>'9_Blind_Decoding_Key'!G33</f>
        <v/>
      </c>
    </row>
    <row r="8">
      <c r="A8" t="inlineStr">
        <is>
          <t>Pedagogical Rubric Levels 3 / 2 / 1 (Blind Count)</t>
        </is>
      </c>
      <c r="B8">
        <f>'9_Blind_Decoding_Key'!E34</f>
        <v/>
      </c>
      <c r="C8">
        <f>'9_Blind_Decoding_Key'!G34</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Category_Group</t>
        </is>
      </c>
      <c r="B1" s="1" t="inlineStr">
        <is>
          <t>Sub_Type</t>
        </is>
      </c>
      <c r="C1" s="1" t="inlineStr">
        <is>
          <t>Step_or_Case_Count</t>
        </is>
      </c>
    </row>
    <row r="2">
      <c r="A2" t="inlineStr">
        <is>
          <t>Valid_Equivalence_Tier (31 Correct)</t>
        </is>
      </c>
      <c r="B2" t="inlineStr">
        <is>
          <t>Tier1_Exact_Symbolic</t>
        </is>
      </c>
      <c r="C2" t="n">
        <v>459</v>
      </c>
    </row>
    <row r="3">
      <c r="A3" t="inlineStr">
        <is>
          <t>Valid_Equivalence_Tier (31 Correct)</t>
        </is>
      </c>
      <c r="B3" t="inlineStr">
        <is>
          <t>Tier1_Wave_Symbolic</t>
        </is>
      </c>
      <c r="C3" t="n">
        <v>18</v>
      </c>
    </row>
    <row r="4">
      <c r="A4" t="inlineStr">
        <is>
          <t>Valid_Equivalence_Tier (31 Correct)</t>
        </is>
      </c>
      <c r="B4" t="inlineStr">
        <is>
          <t>Tier1_PiSq10_Symbolic</t>
        </is>
      </c>
      <c r="C4" t="n">
        <v>12</v>
      </c>
    </row>
    <row r="5">
      <c r="A5" t="inlineStr">
        <is>
          <t>Valid_Equivalence_Tier (31 Correct)</t>
        </is>
      </c>
      <c r="B5" t="inlineStr">
        <is>
          <t>Tier1_Exact_Numeric</t>
        </is>
      </c>
      <c r="C5" t="n">
        <v>6</v>
      </c>
    </row>
    <row r="6">
      <c r="A6" t="inlineStr">
        <is>
          <t>Valid_Equivalence_Tier (31 Correct)</t>
        </is>
      </c>
      <c r="B6" t="inlineStr">
        <is>
          <t>Tier2_HalfULP</t>
        </is>
      </c>
      <c r="C6" t="n">
        <v>5</v>
      </c>
    </row>
    <row r="7">
      <c r="A7" t="inlineStr">
        <is>
          <t>Valid_Equivalence_Tier (31 Correct)</t>
        </is>
      </c>
      <c r="B7" t="inlineStr">
        <is>
          <t>Tier2_PiApprox314</t>
        </is>
      </c>
      <c r="C7" t="n">
        <v>4</v>
      </c>
    </row>
    <row r="8">
      <c r="A8" t="inlineStr">
        <is>
          <t>Detected_First_Error_Type (31 Faulty)</t>
        </is>
      </c>
      <c r="B8" t="inlineStr">
        <is>
          <t>IntraStep_Calc_Error</t>
        </is>
      </c>
      <c r="C8" t="n">
        <v>17</v>
      </c>
    </row>
    <row r="9">
      <c r="A9" t="inlineStr">
        <is>
          <t>Detected_First_Error_Type (31 Faulty)</t>
        </is>
      </c>
      <c r="B9" t="inlineStr">
        <is>
          <t>Canonical_State_Mismatch</t>
        </is>
      </c>
      <c r="C9" t="n">
        <v>4</v>
      </c>
    </row>
    <row r="10">
      <c r="A10" t="inlineStr">
        <is>
          <t>Detected_First_Error_Type (31 Faulty)</t>
        </is>
      </c>
      <c r="B10" t="inlineStr">
        <is>
          <t>Sequential_Value_Drift</t>
        </is>
      </c>
      <c r="C10" t="n">
        <v>3</v>
      </c>
    </row>
    <row r="11">
      <c r="A11" t="inlineStr">
        <is>
          <t>Detected_First_Error_Type (31 Faulty)</t>
        </is>
      </c>
      <c r="B11" t="inlineStr">
        <is>
          <t>Physical_Law_Error</t>
        </is>
      </c>
      <c r="C11" t="n">
        <v>2</v>
      </c>
    </row>
    <row r="12">
      <c r="A12" t="inlineStr">
        <is>
          <t>Detected_First_Error_Type (31 Faulty)</t>
        </is>
      </c>
      <c r="B12" t="inlineStr">
        <is>
          <t>Wave_Transform_Error</t>
        </is>
      </c>
      <c r="C12" t="n">
        <v>2</v>
      </c>
    </row>
    <row r="13">
      <c r="A13" t="inlineStr">
        <is>
          <t>Detected_First_Error_Type (31 Faulty)</t>
        </is>
      </c>
      <c r="B13" t="inlineStr">
        <is>
          <t>Initial_Wave_Mismatch</t>
        </is>
      </c>
      <c r="C13" t="n">
        <v>1</v>
      </c>
    </row>
    <row r="14">
      <c r="A14" t="inlineStr">
        <is>
          <t>Detected_First_Error_Type (31 Faulty)</t>
        </is>
      </c>
      <c r="B14" t="inlineStr">
        <is>
          <t>Symbolic_Simplification_Error</t>
        </is>
      </c>
      <c r="C14" t="n">
        <v>1</v>
      </c>
    </row>
    <row r="15">
      <c r="A15" t="inlineStr">
        <is>
          <t>Detected_First_Error_Type (31 Faulty)</t>
        </is>
      </c>
      <c r="B15" t="inlineStr">
        <is>
          <t>Parametric_Solution_Error</t>
        </is>
      </c>
      <c r="C15"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submission_id</t>
        </is>
      </c>
      <c r="B1" s="1" t="inlineStr">
        <is>
          <t>question_id</t>
        </is>
      </c>
      <c r="C1" s="1" t="inlineStr">
        <is>
          <t>ground_truth</t>
        </is>
      </c>
      <c r="D1" s="1" t="inlineStr">
        <is>
          <t>n_lines</t>
        </is>
      </c>
      <c r="E1" s="1" t="inlineStr">
        <is>
          <t>det_hops_total</t>
        </is>
      </c>
      <c r="F1" s="1" t="inlineStr">
        <is>
          <t>det_hops_compiled</t>
        </is>
      </c>
      <c r="G1" s="1" t="inlineStr">
        <is>
          <t>llm_assertions_raw</t>
        </is>
      </c>
      <c r="H1" s="1" t="inlineStr">
        <is>
          <t>llm_direct_compiled</t>
        </is>
      </c>
      <c r="I1" s="1" t="inlineStr">
        <is>
          <t>llm_1shot_repaired</t>
        </is>
      </c>
      <c r="J1" s="1" t="inlineStr">
        <is>
          <t>llm_unparsed_dropped</t>
        </is>
      </c>
      <c r="K1" s="1" t="inlineStr">
        <is>
          <t>hybrid_fused_compiled</t>
        </is>
      </c>
    </row>
    <row r="2">
      <c r="A2" t="inlineStr">
        <is>
          <t>sub_01</t>
        </is>
      </c>
      <c r="B2" t="inlineStr">
        <is>
          <t>q_04</t>
        </is>
      </c>
      <c r="C2" t="inlineStr">
        <is>
          <t>SAI</t>
        </is>
      </c>
      <c r="D2" t="n">
        <v>5</v>
      </c>
      <c r="E2" t="n">
        <v>7</v>
      </c>
      <c r="F2" t="n">
        <v>7</v>
      </c>
      <c r="G2" t="n">
        <v>3</v>
      </c>
      <c r="H2" t="n">
        <v>3</v>
      </c>
      <c r="I2" t="n">
        <v>0</v>
      </c>
      <c r="J2" t="n">
        <v>0</v>
      </c>
      <c r="K2" t="n">
        <v>7</v>
      </c>
    </row>
    <row r="3">
      <c r="A3" t="inlineStr">
        <is>
          <t>sub_02</t>
        </is>
      </c>
      <c r="B3" t="inlineStr">
        <is>
          <t>q_08</t>
        </is>
      </c>
      <c r="C3" t="inlineStr">
        <is>
          <t>SAI</t>
        </is>
      </c>
      <c r="D3" t="n">
        <v>5</v>
      </c>
      <c r="E3" t="n">
        <v>13</v>
      </c>
      <c r="F3" t="n">
        <v>13</v>
      </c>
      <c r="G3" t="n">
        <v>3</v>
      </c>
      <c r="H3" t="n">
        <v>3</v>
      </c>
      <c r="I3" t="n">
        <v>0</v>
      </c>
      <c r="J3" t="n">
        <v>0</v>
      </c>
      <c r="K3" t="n">
        <v>13</v>
      </c>
    </row>
    <row r="4">
      <c r="A4" t="inlineStr">
        <is>
          <t>sub_03</t>
        </is>
      </c>
      <c r="B4" t="inlineStr">
        <is>
          <t>q_10</t>
        </is>
      </c>
      <c r="C4" t="inlineStr">
        <is>
          <t>SAI</t>
        </is>
      </c>
      <c r="D4" t="n">
        <v>7</v>
      </c>
      <c r="E4" t="n">
        <v>18</v>
      </c>
      <c r="F4" t="n">
        <v>18</v>
      </c>
      <c r="G4" t="n">
        <v>9</v>
      </c>
      <c r="H4" t="n">
        <v>9</v>
      </c>
      <c r="I4" t="n">
        <v>0</v>
      </c>
      <c r="J4" t="n">
        <v>0</v>
      </c>
      <c r="K4" t="n">
        <v>18</v>
      </c>
    </row>
    <row r="5">
      <c r="A5" t="inlineStr">
        <is>
          <t>sub_04</t>
        </is>
      </c>
      <c r="B5" t="inlineStr">
        <is>
          <t>q_17</t>
        </is>
      </c>
      <c r="C5" t="inlineStr">
        <is>
          <t>SAI</t>
        </is>
      </c>
      <c r="D5" t="n">
        <v>11</v>
      </c>
      <c r="E5" t="n">
        <v>13</v>
      </c>
      <c r="F5" t="n">
        <v>13</v>
      </c>
      <c r="G5" t="n">
        <v>4</v>
      </c>
      <c r="H5" t="n">
        <v>4</v>
      </c>
      <c r="I5" t="n">
        <v>0</v>
      </c>
      <c r="J5" t="n">
        <v>0</v>
      </c>
      <c r="K5" t="n">
        <v>13</v>
      </c>
    </row>
    <row r="6">
      <c r="A6" t="inlineStr">
        <is>
          <t>sub_05</t>
        </is>
      </c>
      <c r="B6" t="inlineStr">
        <is>
          <t>q_19</t>
        </is>
      </c>
      <c r="C6" t="inlineStr">
        <is>
          <t>SAI</t>
        </is>
      </c>
      <c r="D6" t="n">
        <v>9</v>
      </c>
      <c r="E6" t="n">
        <v>10</v>
      </c>
      <c r="F6" t="n">
        <v>10</v>
      </c>
      <c r="G6" t="n">
        <v>6</v>
      </c>
      <c r="H6" t="n">
        <v>6</v>
      </c>
      <c r="I6" t="n">
        <v>0</v>
      </c>
      <c r="J6" t="n">
        <v>0</v>
      </c>
      <c r="K6" t="n">
        <v>10</v>
      </c>
    </row>
    <row r="7">
      <c r="A7" t="inlineStr">
        <is>
          <t>sub_06</t>
        </is>
      </c>
      <c r="B7" t="inlineStr">
        <is>
          <t>q_19</t>
        </is>
      </c>
      <c r="C7" t="inlineStr">
        <is>
          <t>SAI</t>
        </is>
      </c>
      <c r="D7" t="n">
        <v>7</v>
      </c>
      <c r="E7" t="n">
        <v>9</v>
      </c>
      <c r="F7" t="n">
        <v>9</v>
      </c>
      <c r="G7" t="n">
        <v>4</v>
      </c>
      <c r="H7" t="n">
        <v>4</v>
      </c>
      <c r="I7" t="n">
        <v>0</v>
      </c>
      <c r="J7" t="n">
        <v>0</v>
      </c>
      <c r="K7" t="n">
        <v>9</v>
      </c>
    </row>
    <row r="8">
      <c r="A8" t="inlineStr">
        <is>
          <t>sub_07</t>
        </is>
      </c>
      <c r="B8" t="inlineStr">
        <is>
          <t>q_20</t>
        </is>
      </c>
      <c r="C8" t="inlineStr">
        <is>
          <t>SAI</t>
        </is>
      </c>
      <c r="D8" t="n">
        <v>7</v>
      </c>
      <c r="E8" t="n">
        <v>8</v>
      </c>
      <c r="F8" t="n">
        <v>8</v>
      </c>
      <c r="G8" t="n">
        <v>8</v>
      </c>
      <c r="H8" t="n">
        <v>8</v>
      </c>
      <c r="I8" t="n">
        <v>0</v>
      </c>
      <c r="J8" t="n">
        <v>0</v>
      </c>
      <c r="K8" t="n">
        <v>8</v>
      </c>
    </row>
    <row r="9">
      <c r="A9" t="inlineStr">
        <is>
          <t>sub_08</t>
        </is>
      </c>
      <c r="B9" t="inlineStr">
        <is>
          <t>q_22</t>
        </is>
      </c>
      <c r="C9" t="inlineStr">
        <is>
          <t>SAI</t>
        </is>
      </c>
      <c r="D9" t="n">
        <v>7</v>
      </c>
      <c r="E9" t="n">
        <v>12</v>
      </c>
      <c r="F9" t="n">
        <v>12</v>
      </c>
      <c r="G9" t="n">
        <v>3</v>
      </c>
      <c r="H9" t="n">
        <v>3</v>
      </c>
      <c r="I9" t="n">
        <v>0</v>
      </c>
      <c r="J9" t="n">
        <v>0</v>
      </c>
      <c r="K9" t="n">
        <v>12</v>
      </c>
    </row>
    <row r="10">
      <c r="A10" t="inlineStr">
        <is>
          <t>sub_09</t>
        </is>
      </c>
      <c r="B10" t="inlineStr">
        <is>
          <t>q_25</t>
        </is>
      </c>
      <c r="C10" t="inlineStr">
        <is>
          <t>SAI</t>
        </is>
      </c>
      <c r="D10" t="n">
        <v>4</v>
      </c>
      <c r="E10" t="n">
        <v>8</v>
      </c>
      <c r="F10" t="n">
        <v>6</v>
      </c>
      <c r="G10" t="n">
        <v>4</v>
      </c>
      <c r="H10" t="n">
        <v>4</v>
      </c>
      <c r="I10" t="n">
        <v>0</v>
      </c>
      <c r="J10" t="n">
        <v>0</v>
      </c>
      <c r="K10" t="n">
        <v>6</v>
      </c>
    </row>
    <row r="11">
      <c r="A11" t="inlineStr">
        <is>
          <t>sub_10</t>
        </is>
      </c>
      <c r="B11" t="inlineStr">
        <is>
          <t>q_25</t>
        </is>
      </c>
      <c r="C11" t="inlineStr">
        <is>
          <t>SAI</t>
        </is>
      </c>
      <c r="D11" t="n">
        <v>5</v>
      </c>
      <c r="E11" t="n">
        <v>9</v>
      </c>
      <c r="F11" t="n">
        <v>7</v>
      </c>
      <c r="G11" t="n">
        <v>4</v>
      </c>
      <c r="H11" t="n">
        <v>4</v>
      </c>
      <c r="I11" t="n">
        <v>0</v>
      </c>
      <c r="J11" t="n">
        <v>0</v>
      </c>
      <c r="K11" t="n">
        <v>7</v>
      </c>
    </row>
    <row r="12">
      <c r="A12" t="inlineStr">
        <is>
          <t>sub_11</t>
        </is>
      </c>
      <c r="B12" t="inlineStr">
        <is>
          <t>q_26</t>
        </is>
      </c>
      <c r="C12" t="inlineStr">
        <is>
          <t>SAI</t>
        </is>
      </c>
      <c r="D12" t="n">
        <v>11</v>
      </c>
      <c r="E12" t="n">
        <v>23</v>
      </c>
      <c r="F12" t="n">
        <v>23</v>
      </c>
      <c r="G12" t="n">
        <v>5</v>
      </c>
      <c r="H12" t="n">
        <v>5</v>
      </c>
      <c r="I12" t="n">
        <v>0</v>
      </c>
      <c r="J12" t="n">
        <v>0</v>
      </c>
      <c r="K12" t="n">
        <v>24</v>
      </c>
    </row>
    <row r="13">
      <c r="A13" t="inlineStr">
        <is>
          <t>sub_12</t>
        </is>
      </c>
      <c r="B13" t="inlineStr">
        <is>
          <t>q_26</t>
        </is>
      </c>
      <c r="C13" t="inlineStr">
        <is>
          <t>SAI</t>
        </is>
      </c>
      <c r="D13" t="n">
        <v>11</v>
      </c>
      <c r="E13" t="n">
        <v>23</v>
      </c>
      <c r="F13" t="n">
        <v>23</v>
      </c>
      <c r="G13" t="n">
        <v>4</v>
      </c>
      <c r="H13" t="n">
        <v>4</v>
      </c>
      <c r="I13" t="n">
        <v>0</v>
      </c>
      <c r="J13" t="n">
        <v>0</v>
      </c>
      <c r="K13" t="n">
        <v>24</v>
      </c>
    </row>
    <row r="14">
      <c r="A14" t="inlineStr">
        <is>
          <t>sub_13</t>
        </is>
      </c>
      <c r="B14" t="inlineStr">
        <is>
          <t>q_28</t>
        </is>
      </c>
      <c r="C14" t="inlineStr">
        <is>
          <t>SAI</t>
        </is>
      </c>
      <c r="D14" t="n">
        <v>10</v>
      </c>
      <c r="E14" t="n">
        <v>21</v>
      </c>
      <c r="F14" t="n">
        <v>21</v>
      </c>
      <c r="G14" t="n">
        <v>11</v>
      </c>
      <c r="H14" t="n">
        <v>11</v>
      </c>
      <c r="I14" t="n">
        <v>0</v>
      </c>
      <c r="J14" t="n">
        <v>0</v>
      </c>
      <c r="K14" t="n">
        <v>23</v>
      </c>
    </row>
    <row r="15">
      <c r="A15" t="inlineStr">
        <is>
          <t>sub_14</t>
        </is>
      </c>
      <c r="B15" t="inlineStr">
        <is>
          <t>q_28</t>
        </is>
      </c>
      <c r="C15" t="inlineStr">
        <is>
          <t>SAI</t>
        </is>
      </c>
      <c r="D15" t="n">
        <v>13</v>
      </c>
      <c r="E15" t="n">
        <v>23</v>
      </c>
      <c r="F15" t="n">
        <v>23</v>
      </c>
      <c r="G15" t="n">
        <v>20</v>
      </c>
      <c r="H15" t="n">
        <v>20</v>
      </c>
      <c r="I15" t="n">
        <v>0</v>
      </c>
      <c r="J15" t="n">
        <v>0</v>
      </c>
      <c r="K15" t="n">
        <v>25</v>
      </c>
    </row>
    <row r="16">
      <c r="A16" t="inlineStr">
        <is>
          <t>sub_15</t>
        </is>
      </c>
      <c r="B16" t="inlineStr">
        <is>
          <t>q_29</t>
        </is>
      </c>
      <c r="C16" t="inlineStr">
        <is>
          <t>SAI</t>
        </is>
      </c>
      <c r="D16" t="n">
        <v>7</v>
      </c>
      <c r="E16" t="n">
        <v>16</v>
      </c>
      <c r="F16" t="n">
        <v>16</v>
      </c>
      <c r="G16" t="n">
        <v>3</v>
      </c>
      <c r="H16" t="n">
        <v>3</v>
      </c>
      <c r="I16" t="n">
        <v>0</v>
      </c>
      <c r="J16" t="n">
        <v>0</v>
      </c>
      <c r="K16" t="n">
        <v>16</v>
      </c>
    </row>
    <row r="17">
      <c r="A17" t="inlineStr">
        <is>
          <t>sub_16</t>
        </is>
      </c>
      <c r="B17" t="inlineStr">
        <is>
          <t>q_30</t>
        </is>
      </c>
      <c r="C17" t="inlineStr">
        <is>
          <t>SAI</t>
        </is>
      </c>
      <c r="D17" t="n">
        <v>9</v>
      </c>
      <c r="E17" t="n">
        <v>20</v>
      </c>
      <c r="F17" t="n">
        <v>18</v>
      </c>
      <c r="G17" t="n">
        <v>9</v>
      </c>
      <c r="H17" t="n">
        <v>9</v>
      </c>
      <c r="I17" t="n">
        <v>0</v>
      </c>
      <c r="J17" t="n">
        <v>0</v>
      </c>
      <c r="K17" t="n">
        <v>19</v>
      </c>
    </row>
    <row r="18">
      <c r="A18" t="inlineStr">
        <is>
          <t>sub_17</t>
        </is>
      </c>
      <c r="B18" t="inlineStr">
        <is>
          <t>q_31</t>
        </is>
      </c>
      <c r="C18" t="inlineStr">
        <is>
          <t>SAI</t>
        </is>
      </c>
      <c r="D18" t="n">
        <v>8</v>
      </c>
      <c r="E18" t="n">
        <v>24</v>
      </c>
      <c r="F18" t="n">
        <v>24</v>
      </c>
      <c r="G18" t="n">
        <v>6</v>
      </c>
      <c r="H18" t="n">
        <v>6</v>
      </c>
      <c r="I18" t="n">
        <v>0</v>
      </c>
      <c r="J18" t="n">
        <v>0</v>
      </c>
      <c r="K18" t="n">
        <v>24</v>
      </c>
    </row>
    <row r="19">
      <c r="A19" t="inlineStr">
        <is>
          <t>sub_18</t>
        </is>
      </c>
      <c r="B19" t="inlineStr">
        <is>
          <t>q_31</t>
        </is>
      </c>
      <c r="C19" t="inlineStr">
        <is>
          <t>SAI</t>
        </is>
      </c>
      <c r="D19" t="n">
        <v>8</v>
      </c>
      <c r="E19" t="n">
        <v>23</v>
      </c>
      <c r="F19" t="n">
        <v>23</v>
      </c>
      <c r="G19" t="n">
        <v>8</v>
      </c>
      <c r="H19" t="n">
        <v>8</v>
      </c>
      <c r="I19" t="n">
        <v>0</v>
      </c>
      <c r="J19" t="n">
        <v>0</v>
      </c>
      <c r="K19" t="n">
        <v>23</v>
      </c>
    </row>
    <row r="20">
      <c r="A20" t="inlineStr">
        <is>
          <t>sub_19</t>
        </is>
      </c>
      <c r="B20" t="inlineStr">
        <is>
          <t>q_32</t>
        </is>
      </c>
      <c r="C20" t="inlineStr">
        <is>
          <t>SAI</t>
        </is>
      </c>
      <c r="D20" t="n">
        <v>27</v>
      </c>
      <c r="E20" t="n">
        <v>16</v>
      </c>
      <c r="F20" t="n">
        <v>14</v>
      </c>
      <c r="G20" t="n">
        <v>5</v>
      </c>
      <c r="H20" t="n">
        <v>5</v>
      </c>
      <c r="I20" t="n">
        <v>0</v>
      </c>
      <c r="J20" t="n">
        <v>0</v>
      </c>
      <c r="K20" t="n">
        <v>14</v>
      </c>
    </row>
    <row r="21">
      <c r="A21" t="inlineStr">
        <is>
          <t>sub_20</t>
        </is>
      </c>
      <c r="B21" t="inlineStr">
        <is>
          <t>q_33</t>
        </is>
      </c>
      <c r="C21" t="inlineStr">
        <is>
          <t>SAI</t>
        </is>
      </c>
      <c r="D21" t="n">
        <v>9</v>
      </c>
      <c r="E21" t="n">
        <v>19</v>
      </c>
      <c r="F21" t="n">
        <v>19</v>
      </c>
      <c r="G21" t="n">
        <v>5</v>
      </c>
      <c r="H21" t="n">
        <v>5</v>
      </c>
      <c r="I21" t="n">
        <v>0</v>
      </c>
      <c r="J21" t="n">
        <v>0</v>
      </c>
      <c r="K21" t="n">
        <v>19</v>
      </c>
    </row>
    <row r="22">
      <c r="A22" t="inlineStr">
        <is>
          <t>sub_21</t>
        </is>
      </c>
      <c r="B22" t="inlineStr">
        <is>
          <t>q_33</t>
        </is>
      </c>
      <c r="C22" t="inlineStr">
        <is>
          <t>SAI</t>
        </is>
      </c>
      <c r="D22" t="n">
        <v>10</v>
      </c>
      <c r="E22" t="n">
        <v>19</v>
      </c>
      <c r="F22" t="n">
        <v>19</v>
      </c>
      <c r="G22" t="n">
        <v>7</v>
      </c>
      <c r="H22" t="n">
        <v>7</v>
      </c>
      <c r="I22" t="n">
        <v>0</v>
      </c>
      <c r="J22" t="n">
        <v>0</v>
      </c>
      <c r="K22" t="n">
        <v>19</v>
      </c>
    </row>
    <row r="23">
      <c r="A23" t="inlineStr">
        <is>
          <t>sub_22</t>
        </is>
      </c>
      <c r="B23" t="inlineStr">
        <is>
          <t>q_34</t>
        </is>
      </c>
      <c r="C23" t="inlineStr">
        <is>
          <t>SAI</t>
        </is>
      </c>
      <c r="D23" t="n">
        <v>14</v>
      </c>
      <c r="E23" t="n">
        <v>18</v>
      </c>
      <c r="F23" t="n">
        <v>18</v>
      </c>
      <c r="G23" t="n">
        <v>7</v>
      </c>
      <c r="H23" t="n">
        <v>7</v>
      </c>
      <c r="I23" t="n">
        <v>0</v>
      </c>
      <c r="J23" t="n">
        <v>0</v>
      </c>
      <c r="K23" t="n">
        <v>18</v>
      </c>
    </row>
    <row r="24">
      <c r="A24" t="inlineStr">
        <is>
          <t>sub_23</t>
        </is>
      </c>
      <c r="B24" t="inlineStr">
        <is>
          <t>q_35</t>
        </is>
      </c>
      <c r="C24" t="inlineStr">
        <is>
          <t>SAI</t>
        </is>
      </c>
      <c r="D24" t="n">
        <v>21</v>
      </c>
      <c r="E24" t="n">
        <v>24</v>
      </c>
      <c r="F24" t="n">
        <v>24</v>
      </c>
      <c r="G24" t="n">
        <v>11</v>
      </c>
      <c r="H24" t="n">
        <v>11</v>
      </c>
      <c r="I24" t="n">
        <v>0</v>
      </c>
      <c r="J24" t="n">
        <v>0</v>
      </c>
      <c r="K24" t="n">
        <v>24</v>
      </c>
    </row>
    <row r="25">
      <c r="A25" t="inlineStr">
        <is>
          <t>sub_24</t>
        </is>
      </c>
      <c r="B25" t="inlineStr">
        <is>
          <t>q_35</t>
        </is>
      </c>
      <c r="C25" t="inlineStr">
        <is>
          <t>SAI</t>
        </is>
      </c>
      <c r="D25" t="n">
        <v>11</v>
      </c>
      <c r="E25" t="n">
        <v>29</v>
      </c>
      <c r="F25" t="n">
        <v>26</v>
      </c>
      <c r="G25" t="n">
        <v>10</v>
      </c>
      <c r="H25" t="n">
        <v>10</v>
      </c>
      <c r="I25" t="n">
        <v>0</v>
      </c>
      <c r="J25" t="n">
        <v>0</v>
      </c>
      <c r="K25" t="n">
        <v>26</v>
      </c>
    </row>
    <row r="26">
      <c r="A26" t="inlineStr">
        <is>
          <t>sub_25</t>
        </is>
      </c>
      <c r="B26" t="inlineStr">
        <is>
          <t>q_36</t>
        </is>
      </c>
      <c r="C26" t="inlineStr">
        <is>
          <t>SAI</t>
        </is>
      </c>
      <c r="D26" t="n">
        <v>27</v>
      </c>
      <c r="E26" t="n">
        <v>27</v>
      </c>
      <c r="F26" t="n">
        <v>27</v>
      </c>
      <c r="G26" t="n">
        <v>8</v>
      </c>
      <c r="H26" t="n">
        <v>8</v>
      </c>
      <c r="I26" t="n">
        <v>0</v>
      </c>
      <c r="J26" t="n">
        <v>0</v>
      </c>
      <c r="K26" t="n">
        <v>27</v>
      </c>
    </row>
    <row r="27">
      <c r="A27" t="inlineStr">
        <is>
          <t>sub_26</t>
        </is>
      </c>
      <c r="B27" t="inlineStr">
        <is>
          <t>q_37</t>
        </is>
      </c>
      <c r="C27" t="inlineStr">
        <is>
          <t>SAI</t>
        </is>
      </c>
      <c r="D27" t="n">
        <v>5</v>
      </c>
      <c r="E27" t="n">
        <v>10</v>
      </c>
      <c r="F27" t="n">
        <v>9</v>
      </c>
      <c r="G27" t="n">
        <v>6</v>
      </c>
      <c r="H27" t="n">
        <v>6</v>
      </c>
      <c r="I27" t="n">
        <v>0</v>
      </c>
      <c r="J27" t="n">
        <v>0</v>
      </c>
      <c r="K27" t="n">
        <v>9</v>
      </c>
    </row>
    <row r="28">
      <c r="A28" t="inlineStr">
        <is>
          <t>sub_27</t>
        </is>
      </c>
      <c r="B28" t="inlineStr">
        <is>
          <t>q_38</t>
        </is>
      </c>
      <c r="C28" t="inlineStr">
        <is>
          <t>SAI</t>
        </is>
      </c>
      <c r="D28" t="n">
        <v>9</v>
      </c>
      <c r="E28" t="n">
        <v>15</v>
      </c>
      <c r="F28" t="n">
        <v>15</v>
      </c>
      <c r="G28" t="n">
        <v>5</v>
      </c>
      <c r="H28" t="n">
        <v>5</v>
      </c>
      <c r="I28" t="n">
        <v>0</v>
      </c>
      <c r="J28" t="n">
        <v>0</v>
      </c>
      <c r="K28" t="n">
        <v>15</v>
      </c>
    </row>
    <row r="29">
      <c r="A29" t="inlineStr">
        <is>
          <t>sub_28</t>
        </is>
      </c>
      <c r="B29" t="inlineStr">
        <is>
          <t>q_39</t>
        </is>
      </c>
      <c r="C29" t="inlineStr">
        <is>
          <t>SAI</t>
        </is>
      </c>
      <c r="D29" t="n">
        <v>21</v>
      </c>
      <c r="E29" t="n">
        <v>31</v>
      </c>
      <c r="F29" t="n">
        <v>27</v>
      </c>
      <c r="G29" t="n">
        <v>9</v>
      </c>
      <c r="H29" t="n">
        <v>9</v>
      </c>
      <c r="I29" t="n">
        <v>0</v>
      </c>
      <c r="J29" t="n">
        <v>0</v>
      </c>
      <c r="K29" t="n">
        <v>29</v>
      </c>
    </row>
    <row r="30">
      <c r="A30" t="inlineStr">
        <is>
          <t>sub_29</t>
        </is>
      </c>
      <c r="B30" t="inlineStr">
        <is>
          <t>q_40</t>
        </is>
      </c>
      <c r="C30" t="inlineStr">
        <is>
          <t>SAI</t>
        </is>
      </c>
      <c r="D30" t="n">
        <v>5</v>
      </c>
      <c r="E30" t="n">
        <v>15</v>
      </c>
      <c r="F30" t="n">
        <v>13</v>
      </c>
      <c r="G30" t="n">
        <v>9</v>
      </c>
      <c r="H30" t="n">
        <v>9</v>
      </c>
      <c r="I30" t="n">
        <v>0</v>
      </c>
      <c r="J30" t="n">
        <v>0</v>
      </c>
      <c r="K30" t="n">
        <v>13</v>
      </c>
    </row>
    <row r="31">
      <c r="A31" t="inlineStr">
        <is>
          <t>sub_30</t>
        </is>
      </c>
      <c r="B31" t="inlineStr">
        <is>
          <t>q_40</t>
        </is>
      </c>
      <c r="C31" t="inlineStr">
        <is>
          <t>SAI</t>
        </is>
      </c>
      <c r="D31" t="n">
        <v>10</v>
      </c>
      <c r="E31" t="n">
        <v>21</v>
      </c>
      <c r="F31" t="n">
        <v>21</v>
      </c>
      <c r="G31" t="n">
        <v>10</v>
      </c>
      <c r="H31" t="n">
        <v>10</v>
      </c>
      <c r="I31" t="n">
        <v>0</v>
      </c>
      <c r="J31" t="n">
        <v>0</v>
      </c>
      <c r="K31" t="n">
        <v>21</v>
      </c>
    </row>
    <row r="32">
      <c r="A32" t="inlineStr">
        <is>
          <t>sub_31</t>
        </is>
      </c>
      <c r="B32" t="inlineStr">
        <is>
          <t>q_40</t>
        </is>
      </c>
      <c r="C32" t="inlineStr">
        <is>
          <t>SAI</t>
        </is>
      </c>
      <c r="D32" t="n">
        <v>10</v>
      </c>
      <c r="E32" t="n">
        <v>17</v>
      </c>
      <c r="F32" t="n">
        <v>17</v>
      </c>
      <c r="G32" t="n">
        <v>9</v>
      </c>
      <c r="H32" t="n">
        <v>9</v>
      </c>
      <c r="I32" t="n">
        <v>0</v>
      </c>
      <c r="J32" t="n">
        <v>0</v>
      </c>
      <c r="K32" t="n">
        <v>17</v>
      </c>
    </row>
    <row r="33">
      <c r="A33" t="inlineStr">
        <is>
          <t>cor_01</t>
        </is>
      </c>
      <c r="B33" t="inlineStr">
        <is>
          <t>q_04</t>
        </is>
      </c>
      <c r="C33" t="inlineStr">
        <is>
          <t>ĐÚNG</t>
        </is>
      </c>
      <c r="D33" t="n">
        <v>5</v>
      </c>
      <c r="E33" t="n">
        <v>8</v>
      </c>
      <c r="F33" t="n">
        <v>8</v>
      </c>
      <c r="G33" t="n">
        <v>3</v>
      </c>
      <c r="H33" t="n">
        <v>3</v>
      </c>
      <c r="I33" t="n">
        <v>0</v>
      </c>
      <c r="J33" t="n">
        <v>0</v>
      </c>
      <c r="K33" t="n">
        <v>8</v>
      </c>
    </row>
    <row r="34">
      <c r="A34" t="inlineStr">
        <is>
          <t>cor_02</t>
        </is>
      </c>
      <c r="B34" t="inlineStr">
        <is>
          <t>q_08</t>
        </is>
      </c>
      <c r="C34" t="inlineStr">
        <is>
          <t>ĐÚNG</t>
        </is>
      </c>
      <c r="D34" t="n">
        <v>4</v>
      </c>
      <c r="E34" t="n">
        <v>9</v>
      </c>
      <c r="F34" t="n">
        <v>9</v>
      </c>
      <c r="G34" t="n">
        <v>2</v>
      </c>
      <c r="H34" t="n">
        <v>2</v>
      </c>
      <c r="I34" t="n">
        <v>0</v>
      </c>
      <c r="J34" t="n">
        <v>0</v>
      </c>
      <c r="K34" t="n">
        <v>9</v>
      </c>
    </row>
    <row r="35">
      <c r="A35" t="inlineStr">
        <is>
          <t>cor_03</t>
        </is>
      </c>
      <c r="B35" t="inlineStr">
        <is>
          <t>q_10</t>
        </is>
      </c>
      <c r="C35" t="inlineStr">
        <is>
          <t>ĐÚNG</t>
        </is>
      </c>
      <c r="D35" t="n">
        <v>7</v>
      </c>
      <c r="E35" t="n">
        <v>19</v>
      </c>
      <c r="F35" t="n">
        <v>19</v>
      </c>
      <c r="G35" t="n">
        <v>9</v>
      </c>
      <c r="H35" t="n">
        <v>9</v>
      </c>
      <c r="I35" t="n">
        <v>0</v>
      </c>
      <c r="J35" t="n">
        <v>0</v>
      </c>
      <c r="K35" t="n">
        <v>19</v>
      </c>
    </row>
    <row r="36">
      <c r="A36" t="inlineStr">
        <is>
          <t>cor_04</t>
        </is>
      </c>
      <c r="B36" t="inlineStr">
        <is>
          <t>q_17</t>
        </is>
      </c>
      <c r="C36" t="inlineStr">
        <is>
          <t>ĐÚNG</t>
        </is>
      </c>
      <c r="D36" t="n">
        <v>12</v>
      </c>
      <c r="E36" t="n">
        <v>13</v>
      </c>
      <c r="F36" t="n">
        <v>13</v>
      </c>
      <c r="G36" t="n">
        <v>5</v>
      </c>
      <c r="H36" t="n">
        <v>5</v>
      </c>
      <c r="I36" t="n">
        <v>0</v>
      </c>
      <c r="J36" t="n">
        <v>0</v>
      </c>
      <c r="K36" t="n">
        <v>13</v>
      </c>
    </row>
    <row r="37">
      <c r="A37" t="inlineStr">
        <is>
          <t>cor_05</t>
        </is>
      </c>
      <c r="B37" t="inlineStr">
        <is>
          <t>q_19</t>
        </is>
      </c>
      <c r="C37" t="inlineStr">
        <is>
          <t>ĐÚNG</t>
        </is>
      </c>
      <c r="D37" t="n">
        <v>8</v>
      </c>
      <c r="E37" t="n">
        <v>11</v>
      </c>
      <c r="F37" t="n">
        <v>11</v>
      </c>
      <c r="G37" t="n">
        <v>6</v>
      </c>
      <c r="H37" t="n">
        <v>6</v>
      </c>
      <c r="I37" t="n">
        <v>0</v>
      </c>
      <c r="J37" t="n">
        <v>0</v>
      </c>
      <c r="K37" t="n">
        <v>11</v>
      </c>
    </row>
    <row r="38">
      <c r="A38" t="inlineStr">
        <is>
          <t>cor_06</t>
        </is>
      </c>
      <c r="B38" t="inlineStr">
        <is>
          <t>q_19</t>
        </is>
      </c>
      <c r="C38" t="inlineStr">
        <is>
          <t>ĐÚNG</t>
        </is>
      </c>
      <c r="D38" t="n">
        <v>24</v>
      </c>
      <c r="E38" t="n">
        <v>20</v>
      </c>
      <c r="F38" t="n">
        <v>18</v>
      </c>
      <c r="G38" t="n">
        <v>7</v>
      </c>
      <c r="H38" t="n">
        <v>7</v>
      </c>
      <c r="I38" t="n">
        <v>0</v>
      </c>
      <c r="J38" t="n">
        <v>0</v>
      </c>
      <c r="K38" t="n">
        <v>18</v>
      </c>
    </row>
    <row r="39">
      <c r="A39" t="inlineStr">
        <is>
          <t>cor_07</t>
        </is>
      </c>
      <c r="B39" t="inlineStr">
        <is>
          <t>q_20</t>
        </is>
      </c>
      <c r="C39" t="inlineStr">
        <is>
          <t>ĐÚNG</t>
        </is>
      </c>
      <c r="D39" t="n">
        <v>7</v>
      </c>
      <c r="E39" t="n">
        <v>9</v>
      </c>
      <c r="F39" t="n">
        <v>9</v>
      </c>
      <c r="G39" t="n">
        <v>9</v>
      </c>
      <c r="H39" t="n">
        <v>9</v>
      </c>
      <c r="I39" t="n">
        <v>0</v>
      </c>
      <c r="J39" t="n">
        <v>0</v>
      </c>
      <c r="K39" t="n">
        <v>9</v>
      </c>
    </row>
    <row r="40">
      <c r="A40" t="inlineStr">
        <is>
          <t>cor_08</t>
        </is>
      </c>
      <c r="B40" t="inlineStr">
        <is>
          <t>q_22</t>
        </is>
      </c>
      <c r="C40" t="inlineStr">
        <is>
          <t>ĐÚNG</t>
        </is>
      </c>
      <c r="D40" t="n">
        <v>7</v>
      </c>
      <c r="E40" t="n">
        <v>12</v>
      </c>
      <c r="F40" t="n">
        <v>11</v>
      </c>
      <c r="G40" t="n">
        <v>4</v>
      </c>
      <c r="H40" t="n">
        <v>4</v>
      </c>
      <c r="I40" t="n">
        <v>0</v>
      </c>
      <c r="J40" t="n">
        <v>0</v>
      </c>
      <c r="K40" t="n">
        <v>11</v>
      </c>
    </row>
    <row r="41">
      <c r="A41" t="inlineStr">
        <is>
          <t>cor_09</t>
        </is>
      </c>
      <c r="B41" t="inlineStr">
        <is>
          <t>q_25</t>
        </is>
      </c>
      <c r="C41" t="inlineStr">
        <is>
          <t>ĐÚNG</t>
        </is>
      </c>
      <c r="D41" t="n">
        <v>4</v>
      </c>
      <c r="E41" t="n">
        <v>8</v>
      </c>
      <c r="F41" t="n">
        <v>6</v>
      </c>
      <c r="G41" t="n">
        <v>4</v>
      </c>
      <c r="H41" t="n">
        <v>4</v>
      </c>
      <c r="I41" t="n">
        <v>0</v>
      </c>
      <c r="J41" t="n">
        <v>0</v>
      </c>
      <c r="K41" t="n">
        <v>6</v>
      </c>
    </row>
    <row r="42">
      <c r="A42" t="inlineStr">
        <is>
          <t>cor_10</t>
        </is>
      </c>
      <c r="B42" t="inlineStr">
        <is>
          <t>q_25</t>
        </is>
      </c>
      <c r="C42" t="inlineStr">
        <is>
          <t>ĐÚNG</t>
        </is>
      </c>
      <c r="D42" t="n">
        <v>14</v>
      </c>
      <c r="E42" t="n">
        <v>8</v>
      </c>
      <c r="F42" t="n">
        <v>8</v>
      </c>
      <c r="G42" t="n">
        <v>5</v>
      </c>
      <c r="H42" t="n">
        <v>5</v>
      </c>
      <c r="I42" t="n">
        <v>0</v>
      </c>
      <c r="J42" t="n">
        <v>0</v>
      </c>
      <c r="K42" t="n">
        <v>8</v>
      </c>
    </row>
    <row r="43">
      <c r="A43" t="inlineStr">
        <is>
          <t>cor_11</t>
        </is>
      </c>
      <c r="B43" t="inlineStr">
        <is>
          <t>q_26</t>
        </is>
      </c>
      <c r="C43" t="inlineStr">
        <is>
          <t>ĐÚNG</t>
        </is>
      </c>
      <c r="D43" t="n">
        <v>11</v>
      </c>
      <c r="E43" t="n">
        <v>23</v>
      </c>
      <c r="F43" t="n">
        <v>23</v>
      </c>
      <c r="G43" t="n">
        <v>4</v>
      </c>
      <c r="H43" t="n">
        <v>4</v>
      </c>
      <c r="I43" t="n">
        <v>0</v>
      </c>
      <c r="J43" t="n">
        <v>0</v>
      </c>
      <c r="K43" t="n">
        <v>24</v>
      </c>
    </row>
    <row r="44">
      <c r="A44" t="inlineStr">
        <is>
          <t>cor_12</t>
        </is>
      </c>
      <c r="B44" t="inlineStr">
        <is>
          <t>q_26</t>
        </is>
      </c>
      <c r="C44" t="inlineStr">
        <is>
          <t>ĐÚNG</t>
        </is>
      </c>
      <c r="D44" t="n">
        <v>47</v>
      </c>
      <c r="E44" t="n">
        <v>51</v>
      </c>
      <c r="F44" t="n">
        <v>48</v>
      </c>
      <c r="G44" t="n">
        <v>10</v>
      </c>
      <c r="H44" t="n">
        <v>10</v>
      </c>
      <c r="I44" t="n">
        <v>0</v>
      </c>
      <c r="J44" t="n">
        <v>0</v>
      </c>
      <c r="K44" t="n">
        <v>48</v>
      </c>
    </row>
    <row r="45">
      <c r="A45" t="inlineStr">
        <is>
          <t>cor_13</t>
        </is>
      </c>
      <c r="B45" t="inlineStr">
        <is>
          <t>q_28</t>
        </is>
      </c>
      <c r="C45" t="inlineStr">
        <is>
          <t>ĐÚNG</t>
        </is>
      </c>
      <c r="D45" t="n">
        <v>11</v>
      </c>
      <c r="E45" t="n">
        <v>20</v>
      </c>
      <c r="F45" t="n">
        <v>20</v>
      </c>
      <c r="G45" t="n">
        <v>3</v>
      </c>
      <c r="H45" t="n">
        <v>3</v>
      </c>
      <c r="I45" t="n">
        <v>0</v>
      </c>
      <c r="J45" t="n">
        <v>0</v>
      </c>
      <c r="K45" t="n">
        <v>20</v>
      </c>
    </row>
    <row r="46">
      <c r="A46" t="inlineStr">
        <is>
          <t>cor_14</t>
        </is>
      </c>
      <c r="B46" t="inlineStr">
        <is>
          <t>q_28</t>
        </is>
      </c>
      <c r="C46" t="inlineStr">
        <is>
          <t>ĐÚNG</t>
        </is>
      </c>
      <c r="D46" t="n">
        <v>35</v>
      </c>
      <c r="E46" t="n">
        <v>30</v>
      </c>
      <c r="F46" t="n">
        <v>27</v>
      </c>
      <c r="G46" t="n">
        <v>14</v>
      </c>
      <c r="H46" t="n">
        <v>14</v>
      </c>
      <c r="I46" t="n">
        <v>0</v>
      </c>
      <c r="J46" t="n">
        <v>0</v>
      </c>
      <c r="K46" t="n">
        <v>30</v>
      </c>
    </row>
    <row r="47">
      <c r="A47" t="inlineStr">
        <is>
          <t>cor_15</t>
        </is>
      </c>
      <c r="B47" t="inlineStr">
        <is>
          <t>q_29</t>
        </is>
      </c>
      <c r="C47" t="inlineStr">
        <is>
          <t>ĐÚNG</t>
        </is>
      </c>
      <c r="D47" t="n">
        <v>7</v>
      </c>
      <c r="E47" t="n">
        <v>16</v>
      </c>
      <c r="F47" t="n">
        <v>16</v>
      </c>
      <c r="G47" t="n">
        <v>3</v>
      </c>
      <c r="H47" t="n">
        <v>3</v>
      </c>
      <c r="I47" t="n">
        <v>0</v>
      </c>
      <c r="J47" t="n">
        <v>0</v>
      </c>
      <c r="K47" t="n">
        <v>16</v>
      </c>
    </row>
    <row r="48">
      <c r="A48" t="inlineStr">
        <is>
          <t>cor_16</t>
        </is>
      </c>
      <c r="B48" t="inlineStr">
        <is>
          <t>q_30</t>
        </is>
      </c>
      <c r="C48" t="inlineStr">
        <is>
          <t>ĐÚNG</t>
        </is>
      </c>
      <c r="D48" t="n">
        <v>9</v>
      </c>
      <c r="E48" t="n">
        <v>19</v>
      </c>
      <c r="F48" t="n">
        <v>17</v>
      </c>
      <c r="G48" t="n">
        <v>5</v>
      </c>
      <c r="H48" t="n">
        <v>5</v>
      </c>
      <c r="I48" t="n">
        <v>0</v>
      </c>
      <c r="J48" t="n">
        <v>0</v>
      </c>
      <c r="K48" t="n">
        <v>17</v>
      </c>
    </row>
    <row r="49">
      <c r="A49" t="inlineStr">
        <is>
          <t>cor_17</t>
        </is>
      </c>
      <c r="B49" t="inlineStr">
        <is>
          <t>q_31</t>
        </is>
      </c>
      <c r="C49" t="inlineStr">
        <is>
          <t>ĐÚNG</t>
        </is>
      </c>
      <c r="D49" t="n">
        <v>8</v>
      </c>
      <c r="E49" t="n">
        <v>24</v>
      </c>
      <c r="F49" t="n">
        <v>22</v>
      </c>
      <c r="G49" t="n">
        <v>8</v>
      </c>
      <c r="H49" t="n">
        <v>8</v>
      </c>
      <c r="I49" t="n">
        <v>0</v>
      </c>
      <c r="J49" t="n">
        <v>0</v>
      </c>
      <c r="K49" t="n">
        <v>22</v>
      </c>
    </row>
    <row r="50">
      <c r="A50" t="inlineStr">
        <is>
          <t>cor_18</t>
        </is>
      </c>
      <c r="B50" t="inlineStr">
        <is>
          <t>q_31</t>
        </is>
      </c>
      <c r="C50" t="inlineStr">
        <is>
          <t>ĐÚNG</t>
        </is>
      </c>
      <c r="D50" t="n">
        <v>45</v>
      </c>
      <c r="E50" t="n">
        <v>53</v>
      </c>
      <c r="F50" t="n">
        <v>52</v>
      </c>
      <c r="G50" t="n">
        <v>7</v>
      </c>
      <c r="H50" t="n">
        <v>7</v>
      </c>
      <c r="I50" t="n">
        <v>0</v>
      </c>
      <c r="J50" t="n">
        <v>0</v>
      </c>
      <c r="K50" t="n">
        <v>52</v>
      </c>
    </row>
    <row r="51">
      <c r="A51" t="inlineStr">
        <is>
          <t>cor_19</t>
        </is>
      </c>
      <c r="B51" t="inlineStr">
        <is>
          <t>q_32</t>
        </is>
      </c>
      <c r="C51" t="inlineStr">
        <is>
          <t>ĐÚNG</t>
        </is>
      </c>
      <c r="D51" t="n">
        <v>7</v>
      </c>
      <c r="E51" t="n">
        <v>7</v>
      </c>
      <c r="F51" t="n">
        <v>7</v>
      </c>
      <c r="G51" t="n">
        <v>3</v>
      </c>
      <c r="H51" t="n">
        <v>3</v>
      </c>
      <c r="I51" t="n">
        <v>0</v>
      </c>
      <c r="J51" t="n">
        <v>0</v>
      </c>
      <c r="K51" t="n">
        <v>7</v>
      </c>
    </row>
    <row r="52">
      <c r="A52" t="inlineStr">
        <is>
          <t>cor_20</t>
        </is>
      </c>
      <c r="B52" t="inlineStr">
        <is>
          <t>q_33</t>
        </is>
      </c>
      <c r="C52" t="inlineStr">
        <is>
          <t>ĐÚNG</t>
        </is>
      </c>
      <c r="D52" t="n">
        <v>10</v>
      </c>
      <c r="E52" t="n">
        <v>19</v>
      </c>
      <c r="F52" t="n">
        <v>19</v>
      </c>
      <c r="G52" t="n">
        <v>10</v>
      </c>
      <c r="H52" t="n">
        <v>10</v>
      </c>
      <c r="I52" t="n">
        <v>0</v>
      </c>
      <c r="J52" t="n">
        <v>0</v>
      </c>
      <c r="K52" t="n">
        <v>19</v>
      </c>
    </row>
    <row r="53">
      <c r="A53" t="inlineStr">
        <is>
          <t>cor_21</t>
        </is>
      </c>
      <c r="B53" t="inlineStr">
        <is>
          <t>q_33</t>
        </is>
      </c>
      <c r="C53" t="inlineStr">
        <is>
          <t>ĐÚNG</t>
        </is>
      </c>
      <c r="D53" t="n">
        <v>35</v>
      </c>
      <c r="E53" t="n">
        <v>17</v>
      </c>
      <c r="F53" t="n">
        <v>16</v>
      </c>
      <c r="G53" t="n">
        <v>9</v>
      </c>
      <c r="H53" t="n">
        <v>9</v>
      </c>
      <c r="I53" t="n">
        <v>0</v>
      </c>
      <c r="J53" t="n">
        <v>0</v>
      </c>
      <c r="K53" t="n">
        <v>17</v>
      </c>
    </row>
    <row r="54">
      <c r="A54" t="inlineStr">
        <is>
          <t>cor_22</t>
        </is>
      </c>
      <c r="B54" t="inlineStr">
        <is>
          <t>q_34</t>
        </is>
      </c>
      <c r="C54" t="inlineStr">
        <is>
          <t>ĐÚNG</t>
        </is>
      </c>
      <c r="D54" t="n">
        <v>9</v>
      </c>
      <c r="E54" t="n">
        <v>16</v>
      </c>
      <c r="F54" t="n">
        <v>16</v>
      </c>
      <c r="G54" t="n">
        <v>4</v>
      </c>
      <c r="H54" t="n">
        <v>4</v>
      </c>
      <c r="I54" t="n">
        <v>0</v>
      </c>
      <c r="J54" t="n">
        <v>0</v>
      </c>
      <c r="K54" t="n">
        <v>16</v>
      </c>
    </row>
    <row r="55">
      <c r="A55" t="inlineStr">
        <is>
          <t>cor_23</t>
        </is>
      </c>
      <c r="B55" t="inlineStr">
        <is>
          <t>q_35</t>
        </is>
      </c>
      <c r="C55" t="inlineStr">
        <is>
          <t>ĐÚNG</t>
        </is>
      </c>
      <c r="D55" t="n">
        <v>9</v>
      </c>
      <c r="E55" t="n">
        <v>24</v>
      </c>
      <c r="F55" t="n">
        <v>21</v>
      </c>
      <c r="G55" t="n">
        <v>6</v>
      </c>
      <c r="H55" t="n">
        <v>6</v>
      </c>
      <c r="I55" t="n">
        <v>0</v>
      </c>
      <c r="J55" t="n">
        <v>0</v>
      </c>
      <c r="K55" t="n">
        <v>21</v>
      </c>
    </row>
    <row r="56">
      <c r="A56" t="inlineStr">
        <is>
          <t>cor_24</t>
        </is>
      </c>
      <c r="B56" t="inlineStr">
        <is>
          <t>q_35</t>
        </is>
      </c>
      <c r="C56" t="inlineStr">
        <is>
          <t>ĐÚNG</t>
        </is>
      </c>
      <c r="D56" t="n">
        <v>43</v>
      </c>
      <c r="E56" t="n">
        <v>35</v>
      </c>
      <c r="F56" t="n">
        <v>35</v>
      </c>
      <c r="G56" t="n">
        <v>11</v>
      </c>
      <c r="H56" t="n">
        <v>11</v>
      </c>
      <c r="I56" t="n">
        <v>0</v>
      </c>
      <c r="J56" t="n">
        <v>0</v>
      </c>
      <c r="K56" t="n">
        <v>35</v>
      </c>
    </row>
    <row r="57">
      <c r="A57" t="inlineStr">
        <is>
          <t>cor_25</t>
        </is>
      </c>
      <c r="B57" t="inlineStr">
        <is>
          <t>q_36</t>
        </is>
      </c>
      <c r="C57" t="inlineStr">
        <is>
          <t>ĐÚNG</t>
        </is>
      </c>
      <c r="D57" t="n">
        <v>11</v>
      </c>
      <c r="E57" t="n">
        <v>21</v>
      </c>
      <c r="F57" t="n">
        <v>20</v>
      </c>
      <c r="G57" t="n">
        <v>5</v>
      </c>
      <c r="H57" t="n">
        <v>5</v>
      </c>
      <c r="I57" t="n">
        <v>0</v>
      </c>
      <c r="J57" t="n">
        <v>0</v>
      </c>
      <c r="K57" t="n">
        <v>20</v>
      </c>
    </row>
    <row r="58">
      <c r="A58" t="inlineStr">
        <is>
          <t>cor_26</t>
        </is>
      </c>
      <c r="B58" t="inlineStr">
        <is>
          <t>q_37</t>
        </is>
      </c>
      <c r="C58" t="inlineStr">
        <is>
          <t>ĐÚNG</t>
        </is>
      </c>
      <c r="D58" t="n">
        <v>5</v>
      </c>
      <c r="E58" t="n">
        <v>10</v>
      </c>
      <c r="F58" t="n">
        <v>9</v>
      </c>
      <c r="G58" t="n">
        <v>6</v>
      </c>
      <c r="H58" t="n">
        <v>6</v>
      </c>
      <c r="I58" t="n">
        <v>0</v>
      </c>
      <c r="J58" t="n">
        <v>0</v>
      </c>
      <c r="K58" t="n">
        <v>9</v>
      </c>
    </row>
    <row r="59">
      <c r="A59" t="inlineStr">
        <is>
          <t>cor_27</t>
        </is>
      </c>
      <c r="B59" t="inlineStr">
        <is>
          <t>q_38</t>
        </is>
      </c>
      <c r="C59" t="inlineStr">
        <is>
          <t>ĐÚNG</t>
        </is>
      </c>
      <c r="D59" t="n">
        <v>7</v>
      </c>
      <c r="E59" t="n">
        <v>12</v>
      </c>
      <c r="F59" t="n">
        <v>12</v>
      </c>
      <c r="G59" t="n">
        <v>6</v>
      </c>
      <c r="H59" t="n">
        <v>6</v>
      </c>
      <c r="I59" t="n">
        <v>0</v>
      </c>
      <c r="J59" t="n">
        <v>0</v>
      </c>
      <c r="K59" t="n">
        <v>12</v>
      </c>
    </row>
    <row r="60">
      <c r="A60" t="inlineStr">
        <is>
          <t>cor_28</t>
        </is>
      </c>
      <c r="B60" t="inlineStr">
        <is>
          <t>q_39</t>
        </is>
      </c>
      <c r="C60" t="inlineStr">
        <is>
          <t>ĐÚNG</t>
        </is>
      </c>
      <c r="D60" t="n">
        <v>7</v>
      </c>
      <c r="E60" t="n">
        <v>16</v>
      </c>
      <c r="F60" t="n">
        <v>16</v>
      </c>
      <c r="G60" t="n">
        <v>5</v>
      </c>
      <c r="H60" t="n">
        <v>5</v>
      </c>
      <c r="I60" t="n">
        <v>0</v>
      </c>
      <c r="J60" t="n">
        <v>0</v>
      </c>
      <c r="K60" t="n">
        <v>16</v>
      </c>
    </row>
    <row r="61">
      <c r="A61" t="inlineStr">
        <is>
          <t>cor_29</t>
        </is>
      </c>
      <c r="B61" t="inlineStr">
        <is>
          <t>q_04</t>
        </is>
      </c>
      <c r="C61" t="inlineStr">
        <is>
          <t>ĐÚNG</t>
        </is>
      </c>
      <c r="D61" t="n">
        <v>5</v>
      </c>
      <c r="E61" t="n">
        <v>7</v>
      </c>
      <c r="F61" t="n">
        <v>7</v>
      </c>
      <c r="G61" t="n">
        <v>3</v>
      </c>
      <c r="H61" t="n">
        <v>3</v>
      </c>
      <c r="I61" t="n">
        <v>0</v>
      </c>
      <c r="J61" t="n">
        <v>0</v>
      </c>
      <c r="K61" t="n">
        <v>7</v>
      </c>
    </row>
    <row r="62">
      <c r="A62" t="inlineStr">
        <is>
          <t>cor_30</t>
        </is>
      </c>
      <c r="B62" t="inlineStr">
        <is>
          <t>q_04</t>
        </is>
      </c>
      <c r="C62" t="inlineStr">
        <is>
          <t>ĐÚNG</t>
        </is>
      </c>
      <c r="D62" t="n">
        <v>12</v>
      </c>
      <c r="E62" t="n">
        <v>9</v>
      </c>
      <c r="F62" t="n">
        <v>9</v>
      </c>
      <c r="G62" t="n">
        <v>3</v>
      </c>
      <c r="H62" t="n">
        <v>3</v>
      </c>
      <c r="I62" t="n">
        <v>0</v>
      </c>
      <c r="J62" t="n">
        <v>0</v>
      </c>
      <c r="K62" t="n">
        <v>9</v>
      </c>
    </row>
    <row r="63">
      <c r="A63" t="inlineStr">
        <is>
          <t>cor_31</t>
        </is>
      </c>
      <c r="B63" t="inlineStr">
        <is>
          <t>q_04</t>
        </is>
      </c>
      <c r="C63" t="inlineStr">
        <is>
          <t>ĐÚNG</t>
        </is>
      </c>
      <c r="D63" t="n">
        <v>30</v>
      </c>
      <c r="E63" t="n">
        <v>14</v>
      </c>
      <c r="F63" t="n">
        <v>14</v>
      </c>
      <c r="G63" t="n">
        <v>12</v>
      </c>
      <c r="H63" t="n">
        <v>12</v>
      </c>
      <c r="I63" t="n">
        <v>0</v>
      </c>
      <c r="J63" t="n">
        <v>0</v>
      </c>
      <c r="K63" t="n">
        <v>18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63"/>
  <sheetViews>
    <sheetView workbookViewId="0">
      <selection activeCell="A1" sqref="A1"/>
    </sheetView>
  </sheetViews>
  <sheetFormatPr baseColWidth="8" defaultRowHeight="15"/>
  <sheetData>
    <row r="1">
      <c r="A1" s="1" t="inlineStr">
        <is>
          <t>submission_id</t>
        </is>
      </c>
      <c r="B1" s="1" t="inlineStr">
        <is>
          <t>question_id</t>
        </is>
      </c>
      <c r="C1" s="1" t="inlineStr">
        <is>
          <t>question_split</t>
        </is>
      </c>
      <c r="D1" s="1" t="inlineStr">
        <is>
          <t>student_model</t>
        </is>
      </c>
      <c r="E1" s="1" t="inlineStr">
        <is>
          <t>ground_truth</t>
        </is>
      </c>
      <c r="F1" s="1" t="inlineStr">
        <is>
          <t>canonical_final_answer</t>
        </is>
      </c>
      <c r="G1" s="1" t="inlineStr">
        <is>
          <t>S0_PureLLM_Verdict</t>
        </is>
      </c>
      <c r="H1" s="1" t="inlineStr">
        <is>
          <t>S0_Localized_Step</t>
        </is>
      </c>
      <c r="I1" s="1" t="inlineStr">
        <is>
          <t>S0_Loc_Correct</t>
        </is>
      </c>
      <c r="J1" s="1" t="inlineStr">
        <is>
          <t>S1_NaiveRegex_Verdict</t>
        </is>
      </c>
      <c r="K1" s="1" t="inlineStr">
        <is>
          <t>S1_Loc_Line</t>
        </is>
      </c>
      <c r="L1" s="1" t="inlineStr">
        <is>
          <t>S1_Loc_Correct</t>
        </is>
      </c>
      <c r="M1" s="1" t="inlineStr">
        <is>
          <t>S2a_PureLLMParser_Verdict</t>
        </is>
      </c>
      <c r="N1" s="1" t="inlineStr">
        <is>
          <t>S2a_Loc_Line</t>
        </is>
      </c>
      <c r="O1" s="1" t="inlineStr">
        <is>
          <t>S2a_Loc_Expr</t>
        </is>
      </c>
      <c r="P1" s="1" t="inlineStr">
        <is>
          <t>S2a_Loc_Correct</t>
        </is>
      </c>
      <c r="Q1" s="1" t="inlineStr">
        <is>
          <t>S2b_Tier1Exact_Verdict</t>
        </is>
      </c>
      <c r="R1" s="1" t="inlineStr">
        <is>
          <t>S2b_Loc_Line</t>
        </is>
      </c>
      <c r="S1" s="1" t="inlineStr">
        <is>
          <t>S2b_Loc_Expr</t>
        </is>
      </c>
      <c r="T1" s="1" t="inlineStr">
        <is>
          <t>S2b_Loc_Correct</t>
        </is>
      </c>
      <c r="U1" s="1" t="inlineStr">
        <is>
          <t>S3_Proposed_Verdict</t>
        </is>
      </c>
      <c r="V1" s="1" t="inlineStr">
        <is>
          <t>S3_Loc_Line</t>
        </is>
      </c>
      <c r="W1" s="1" t="inlineStr">
        <is>
          <t>S3_Loc_Expr</t>
        </is>
      </c>
      <c r="X1" s="1" t="inlineStr">
        <is>
          <t>S3_Error_Reason</t>
        </is>
      </c>
      <c r="Y1" s="1" t="inlineStr">
        <is>
          <t>S3_Expected_SymPy</t>
        </is>
      </c>
      <c r="Z1" s="1" t="inlineStr">
        <is>
          <t>S3_Loc_Correct</t>
        </is>
      </c>
    </row>
    <row r="2">
      <c r="A2" t="inlineStr">
        <is>
          <t>sub_01</t>
        </is>
      </c>
      <c r="B2" t="inlineStr">
        <is>
          <t>q_04</t>
        </is>
      </c>
      <c r="C2" t="inlineStr">
        <is>
          <t>Calibration_11Q</t>
        </is>
      </c>
      <c r="D2" t="inlineStr">
        <is>
          <t>qwen1_5b</t>
        </is>
      </c>
      <c r="E2" t="inlineStr">
        <is>
          <t>SAI</t>
        </is>
      </c>
      <c r="F2" t="inlineStr">
        <is>
          <t>0.25</t>
        </is>
      </c>
      <c r="G2" t="inlineStr">
        <is>
          <t>INCORRECT</t>
        </is>
      </c>
      <c r="H2" t="inlineStr">
        <is>
          <t>Học sinh viết $\Delta t = \frac{2\pi}{\omega \cdot 2}$ nhưng Lời giải mẫu là $\Delta t = \frac{\pi}{\omega}$.</t>
        </is>
      </c>
      <c r="I2" t="n">
        <v>0</v>
      </c>
      <c r="J2" t="inlineStr">
        <is>
          <t>CORRECT</t>
        </is>
      </c>
      <c r="L2" t="n">
        <v>0</v>
      </c>
      <c r="M2" t="inlineStr">
        <is>
          <t>INCORRECT</t>
        </is>
      </c>
      <c r="N2" t="inlineStr">
        <is>
          <t>L04</t>
        </is>
      </c>
      <c r="O2" t="inlineStr">
        <is>
          <t>Delta_t == 0.125</t>
        </is>
      </c>
      <c r="P2" t="n">
        <v>1</v>
      </c>
      <c r="Q2" t="inlineStr">
        <is>
          <t>INCORRECT</t>
        </is>
      </c>
      <c r="R2" t="inlineStr">
        <is>
          <t>L04</t>
        </is>
      </c>
      <c r="S2" t="inlineStr">
        <is>
          <t>\frac{\pi}{4\pi} == 0,125  \text{ (s)}</t>
        </is>
      </c>
      <c r="T2" t="n">
        <v>1</v>
      </c>
      <c r="U2" t="inlineStr">
        <is>
          <t>INCORRECT</t>
        </is>
      </c>
      <c r="V2" t="inlineStr">
        <is>
          <t>L04</t>
        </is>
      </c>
      <c r="W2" t="inlineStr">
        <is>
          <t>\frac{\pi}{4\pi} == 0,125  \text{ (s)}</t>
        </is>
      </c>
      <c r="X2" t="inlineStr">
        <is>
          <t>IntraStep_Calc_Error (1/4 != 0.125000000000000, Numeric_Mismatch(diff=0.125,tol=1.00e-06))</t>
        </is>
      </c>
      <c r="Y2" t="inlineStr">
        <is>
          <t>1/4</t>
        </is>
      </c>
      <c r="Z2" t="n">
        <v>1</v>
      </c>
    </row>
    <row r="3">
      <c r="A3" t="inlineStr">
        <is>
          <t>sub_02</t>
        </is>
      </c>
      <c r="B3" t="inlineStr">
        <is>
          <t>q_08</t>
        </is>
      </c>
      <c r="C3" t="inlineStr">
        <is>
          <t>HeldOut_Unseen_11Q</t>
        </is>
      </c>
      <c r="D3" t="inlineStr">
        <is>
          <t>qwen1_5b</t>
        </is>
      </c>
      <c r="E3" t="inlineStr">
        <is>
          <t>SAI</t>
        </is>
      </c>
      <c r="F3" t="inlineStr">
        <is>
          <t>4</t>
        </is>
      </c>
      <c r="G3" t="inlineStr">
        <is>
          <t>CORRECT</t>
        </is>
      </c>
      <c r="H3" t="inlineStr">
        <is>
          <t>Không có bước sai.</t>
        </is>
      </c>
      <c r="I3" t="n">
        <v>0</v>
      </c>
      <c r="J3" t="inlineStr">
        <is>
          <t>CORRECT</t>
        </is>
      </c>
      <c r="L3" t="n">
        <v>0</v>
      </c>
      <c r="M3" t="inlineStr">
        <is>
          <t>INCORRECT</t>
        </is>
      </c>
      <c r="N3" t="inlineStr">
        <is>
          <t>L02</t>
        </is>
      </c>
      <c r="O3" t="inlineStr">
        <is>
          <t>omega**2 == 16*pi**2 / 8*pi</t>
        </is>
      </c>
      <c r="P3" t="n">
        <v>1</v>
      </c>
      <c r="Q3" t="inlineStr">
        <is>
          <t>INCORRECT</t>
        </is>
      </c>
      <c r="R3" t="inlineStr">
        <is>
          <t>L01</t>
        </is>
      </c>
      <c r="S3" t="inlineStr">
        <is>
          <t>a_{max} == (\frac{v_{max}}{\omega})^2</t>
        </is>
      </c>
      <c r="T3" t="n">
        <v>1</v>
      </c>
      <c r="U3" t="inlineStr">
        <is>
          <t>INCORRECT</t>
        </is>
      </c>
      <c r="V3" t="inlineStr">
        <is>
          <t>L01</t>
        </is>
      </c>
      <c r="W3" t="inlineStr">
        <is>
          <t>a_{max} == (\frac{v_{max}}{\omega})^2</t>
        </is>
      </c>
      <c r="X3" t="inlineStr">
        <is>
          <t>Physical_Law_Error (Symbolic_Mismatch)</t>
        </is>
      </c>
      <c r="Y3" t="inlineStr">
        <is>
          <t>A*omega**2</t>
        </is>
      </c>
      <c r="Z3" t="n">
        <v>1</v>
      </c>
    </row>
    <row r="4">
      <c r="A4" t="inlineStr">
        <is>
          <t>sub_03</t>
        </is>
      </c>
      <c r="B4" t="inlineStr">
        <is>
          <t>q_10</t>
        </is>
      </c>
      <c r="C4" t="inlineStr">
        <is>
          <t>Calibration_11Q</t>
        </is>
      </c>
      <c r="D4" t="inlineStr">
        <is>
          <t>qwen1_5b</t>
        </is>
      </c>
      <c r="E4" t="inlineStr">
        <is>
          <t>SAI</t>
        </is>
      </c>
      <c r="F4" t="inlineStr">
        <is>
          <t>10</t>
        </is>
      </c>
      <c r="G4" t="inlineStr">
        <is>
          <t>INCORRECT</t>
        </is>
      </c>
      <c r="H4" t="inlineStr">
        <is>
          <t>Học sinh viết \( A = \sqrt{9 + 16 + 24} = \sqrt{49} = 7 \) cm nhưng Lời giải mẫu là \( A = \sqrt{9 + 16 - 24} = \sqrt{1} = 1 \) cm.</t>
        </is>
      </c>
      <c r="I4" t="n">
        <v>0</v>
      </c>
      <c r="J4" t="inlineStr">
        <is>
          <t>INCORRECT</t>
        </is>
      </c>
      <c r="K4" t="inlineStr">
        <is>
          <t>L02</t>
        </is>
      </c>
      <c r="L4" t="n">
        <v>1</v>
      </c>
      <c r="M4" t="inlineStr">
        <is>
          <t>INCORRECT</t>
        </is>
      </c>
      <c r="N4" t="inlineStr">
        <is>
          <t>L02</t>
        </is>
      </c>
      <c r="O4" t="inlineStr">
        <is>
          <t>x1 == 3*cos(10*t + pi/6)</t>
        </is>
      </c>
      <c r="P4" t="n">
        <v>1</v>
      </c>
      <c r="Q4" t="inlineStr">
        <is>
          <t>INCORRECT</t>
        </is>
      </c>
      <c r="R4" t="inlineStr">
        <is>
          <t>L02</t>
        </is>
      </c>
      <c r="S4" t="inlineStr">
        <is>
          <t>x1 == 3cos(10t – π/3 + π/2)</t>
        </is>
      </c>
      <c r="T4" t="n">
        <v>1</v>
      </c>
      <c r="U4" t="inlineStr">
        <is>
          <t>INCORRECT</t>
        </is>
      </c>
      <c r="V4" t="inlineStr">
        <is>
          <t>L02</t>
        </is>
      </c>
      <c r="W4" t="inlineStr">
        <is>
          <t>x1 == 3cos(10t – π/3 + π/2)</t>
        </is>
      </c>
      <c r="X4" t="inlineStr">
        <is>
          <t>Initial_Wave_Mismatch (Symbolic_Mismatch)</t>
        </is>
      </c>
      <c r="Y4" t="inlineStr">
        <is>
          <t>-3*cos(10*t + pi/6)</t>
        </is>
      </c>
      <c r="Z4" t="n">
        <v>1</v>
      </c>
    </row>
    <row r="5">
      <c r="A5" t="inlineStr">
        <is>
          <t>sub_04</t>
        </is>
      </c>
      <c r="B5" t="inlineStr">
        <is>
          <t>q_17</t>
        </is>
      </c>
      <c r="C5" t="inlineStr">
        <is>
          <t>HeldOut_Unseen_11Q</t>
        </is>
      </c>
      <c r="D5" t="inlineStr">
        <is>
          <t>qwen1_5b</t>
        </is>
      </c>
      <c r="E5" t="inlineStr">
        <is>
          <t>SAI</t>
        </is>
      </c>
      <c r="F5" t="inlineStr">
        <is>
          <t>200*pi</t>
        </is>
      </c>
      <c r="G5" t="inlineStr">
        <is>
          <t>INCORRECT</t>
        </is>
      </c>
      <c r="H5" t="inlineStr">
        <is>
          <t>Học sinh viết \( v_{tb} = \frac{A\sqrt{3}}{\frac{T}{3}} = 9A/T \) nhưng Lời giải mẫu là \( v_{tb} = \frac{A\sqrt{3}}{\frac{T}{3}} = 3A\sqrt{3}/T \).</t>
        </is>
      </c>
      <c r="I5" t="n">
        <v>1</v>
      </c>
      <c r="J5" t="inlineStr">
        <is>
          <t>INCORRECT</t>
        </is>
      </c>
      <c r="K5" t="inlineStr">
        <is>
          <t>L09</t>
        </is>
      </c>
      <c r="L5" t="n">
        <v>0</v>
      </c>
      <c r="M5" t="inlineStr">
        <is>
          <t>CORRECT</t>
        </is>
      </c>
      <c r="P5" t="n">
        <v>0</v>
      </c>
      <c r="Q5" t="inlineStr">
        <is>
          <t>INCORRECT</t>
        </is>
      </c>
      <c r="R5" t="inlineStr">
        <is>
          <t>L08</t>
        </is>
      </c>
      <c r="S5" t="inlineStr">
        <is>
          <t>A.sqrt(3) / (T/3) == 9.A/T.</t>
        </is>
      </c>
      <c r="T5" t="n">
        <v>1</v>
      </c>
      <c r="U5" t="inlineStr">
        <is>
          <t>INCORRECT</t>
        </is>
      </c>
      <c r="V5" t="inlineStr">
        <is>
          <t>L08</t>
        </is>
      </c>
      <c r="W5" t="inlineStr">
        <is>
          <t>A.sqrt(3) / (T/3) == 9.A/T.</t>
        </is>
      </c>
      <c r="X5" t="inlineStr">
        <is>
          <t>Symbolic_Simplification_Error (3*sqrt(3)*A/T != 9*A/T)</t>
        </is>
      </c>
      <c r="Y5" t="inlineStr">
        <is>
          <t>3*sqrt(3)*A/T</t>
        </is>
      </c>
      <c r="Z5" t="n">
        <v>1</v>
      </c>
    </row>
    <row r="6">
      <c r="A6" t="inlineStr">
        <is>
          <t>sub_05</t>
        </is>
      </c>
      <c r="B6" t="inlineStr">
        <is>
          <t>q_19</t>
        </is>
      </c>
      <c r="C6" t="inlineStr">
        <is>
          <t>Calibration_11Q</t>
        </is>
      </c>
      <c r="D6" t="inlineStr">
        <is>
          <t>qwen1_5b</t>
        </is>
      </c>
      <c r="E6" t="inlineStr">
        <is>
          <t>SAI</t>
        </is>
      </c>
      <c r="F6" t="inlineStr">
        <is>
          <t>0.245</t>
        </is>
      </c>
      <c r="G6" t="inlineStr">
        <is>
          <t>INCORRECT</t>
        </is>
      </c>
      <c r="H6" t="inlineStr">
        <is>
          <t>Học sinh viết \( W = 0,02 + 0,1125\pi \, \text{J} \) nhưng Lời giải mẫu là \( W = 0,245 \, \text{J} \).</t>
        </is>
      </c>
      <c r="I6" t="n">
        <v>0</v>
      </c>
      <c r="J6" t="inlineStr">
        <is>
          <t>INCORRECT</t>
        </is>
      </c>
      <c r="K6" t="inlineStr">
        <is>
          <t>L04</t>
        </is>
      </c>
      <c r="L6" t="n">
        <v>0</v>
      </c>
      <c r="M6" t="inlineStr">
        <is>
          <t>INCORRECT</t>
        </is>
      </c>
      <c r="N6" t="inlineStr">
        <is>
          <t>L05</t>
        </is>
      </c>
      <c r="O6" t="inlineStr">
        <is>
          <t>W == 50*0.0004 + 0.2*(0.0225*5*pi)</t>
        </is>
      </c>
      <c r="P6" t="n">
        <v>1</v>
      </c>
      <c r="Q6" t="inlineStr">
        <is>
          <t>INCORRECT</t>
        </is>
      </c>
      <c r="R6" t="inlineStr">
        <is>
          <t>L05</t>
        </is>
      </c>
      <c r="S6" t="inlineStr">
        <is>
          <t>W == 50.(0,0004) + 0,2.(0,0225 * 5π)</t>
        </is>
      </c>
      <c r="T6" t="n">
        <v>1</v>
      </c>
      <c r="U6" t="inlineStr">
        <is>
          <t>INCORRECT</t>
        </is>
      </c>
      <c r="V6" t="inlineStr">
        <is>
          <t>L05</t>
        </is>
      </c>
      <c r="W6" t="inlineStr">
        <is>
          <t>W == 50.(0,0004) + 0,2.(0,0225 * 5π)</t>
        </is>
      </c>
      <c r="X6" t="inlineStr">
        <is>
          <t>Sequential_Value_Drift (W: prev=0.02 + 0.0225*pi**2 vs new=0.02 + 0.0225*pi)</t>
        </is>
      </c>
      <c r="Y6" t="inlineStr">
        <is>
          <t>0.02 + 0.0225*pi**2</t>
        </is>
      </c>
      <c r="Z6" t="n">
        <v>1</v>
      </c>
    </row>
    <row r="7">
      <c r="A7" t="inlineStr">
        <is>
          <t>sub_06</t>
        </is>
      </c>
      <c r="B7" t="inlineStr">
        <is>
          <t>q_19</t>
        </is>
      </c>
      <c r="C7" t="inlineStr">
        <is>
          <t>Calibration_11Q</t>
        </is>
      </c>
      <c r="D7" t="inlineStr">
        <is>
          <t>qwen3b</t>
        </is>
      </c>
      <c r="E7" t="inlineStr">
        <is>
          <t>SAI</t>
        </is>
      </c>
      <c r="F7" t="inlineStr">
        <is>
          <t>0.245</t>
        </is>
      </c>
      <c r="G7" t="inlineStr">
        <is>
          <t>INCORRECT</t>
        </is>
      </c>
      <c r="H7" t="inlineStr">
        <is>
          <t>Học sinh viết \( W = 50 \times (0,0004) + 0,2 \times (0,225 \times 5 \times 10) \) nhưng Lời giải mẫu là \( W = \frac{1}{2} \times 100 \times (0.02)^2 + \frac{1}{2} \times 0.4 \times (0.15\sqrt{5}\pi)^2 \).</t>
        </is>
      </c>
      <c r="I7" t="n">
        <v>1</v>
      </c>
      <c r="J7" t="inlineStr">
        <is>
          <t>INCORRECT</t>
        </is>
      </c>
      <c r="K7" t="inlineStr">
        <is>
          <t>L05</t>
        </is>
      </c>
      <c r="L7" t="n">
        <v>1</v>
      </c>
      <c r="M7" t="inlineStr">
        <is>
          <t>INCORRECT</t>
        </is>
      </c>
      <c r="N7" t="inlineStr">
        <is>
          <t>L05</t>
        </is>
      </c>
      <c r="O7" t="inlineStr">
        <is>
          <t>W == 50*0.0004 + 0.2*0.225*5*10</t>
        </is>
      </c>
      <c r="P7" t="n">
        <v>1</v>
      </c>
      <c r="Q7" t="inlineStr">
        <is>
          <t>INCORRECT</t>
        </is>
      </c>
      <c r="R7" t="inlineStr">
        <is>
          <t>L05</t>
        </is>
      </c>
      <c r="S7" t="inlineStr">
        <is>
          <t>W == 50.(0,0004) + 0,2.(0,225 * 5 * 10)</t>
        </is>
      </c>
      <c r="T7" t="n">
        <v>1</v>
      </c>
      <c r="U7" t="inlineStr">
        <is>
          <t>INCORRECT</t>
        </is>
      </c>
      <c r="V7" t="inlineStr">
        <is>
          <t>L05</t>
        </is>
      </c>
      <c r="W7" t="inlineStr">
        <is>
          <t>W == 50.(0,0004) + 0,2.(0,225 * 5 * 10)</t>
        </is>
      </c>
      <c r="X7" t="inlineStr">
        <is>
          <t>Sequential_Value_Drift (W: prev=0.02 + 0.0225*pi**2 vs new=2.27000000000000)</t>
        </is>
      </c>
      <c r="Y7" t="inlineStr">
        <is>
          <t>0.02 + 0.0225*pi**2</t>
        </is>
      </c>
      <c r="Z7" t="n">
        <v>1</v>
      </c>
    </row>
    <row r="8">
      <c r="A8" t="inlineStr">
        <is>
          <t>sub_07</t>
        </is>
      </c>
      <c r="B8" t="inlineStr">
        <is>
          <t>q_20</t>
        </is>
      </c>
      <c r="C8" t="inlineStr">
        <is>
          <t>HeldOut_Unseen_11Q</t>
        </is>
      </c>
      <c r="D8" t="inlineStr">
        <is>
          <t>qwen1_5b</t>
        </is>
      </c>
      <c r="E8" t="inlineStr">
        <is>
          <t>SAI</t>
        </is>
      </c>
      <c r="F8" t="inlineStr">
        <is>
          <t>0.00036</t>
        </is>
      </c>
      <c r="G8" t="inlineStr">
        <is>
          <t>INCORRECT</t>
        </is>
      </c>
      <c r="H8" t="inlineStr">
        <is>
          <t>Học sinh viết \( W_{\text{đmax}} = \frac{1}{2} \cdot 0.05 \cdot 3^2 \cdot 0.04^2 \) nhưng Lời giải mẫu là \( W_{\text{đmax}} = \frac{1}{2} \cdot 0.05 \cdot (0.12)^2 \).</t>
        </is>
      </c>
      <c r="I8" t="n">
        <v>0</v>
      </c>
      <c r="J8" t="inlineStr">
        <is>
          <t>INCORRECT</t>
        </is>
      </c>
      <c r="K8" t="inlineStr">
        <is>
          <t>L02</t>
        </is>
      </c>
      <c r="L8" t="n">
        <v>0</v>
      </c>
      <c r="M8" t="inlineStr">
        <is>
          <t>INCORRECT</t>
        </is>
      </c>
      <c r="N8" t="inlineStr">
        <is>
          <t>L06</t>
        </is>
      </c>
      <c r="O8" t="inlineStr">
        <is>
          <t>Wdjmax == 0.00225</t>
        </is>
      </c>
      <c r="P8" t="n">
        <v>1</v>
      </c>
      <c r="Q8" t="inlineStr">
        <is>
          <t>INCORRECT</t>
        </is>
      </c>
      <c r="R8" t="inlineStr">
        <is>
          <t>L06</t>
        </is>
      </c>
      <c r="S8" t="inlineStr">
        <is>
          <t>Wd_max == 0,00225 (J).</t>
        </is>
      </c>
      <c r="T8" t="n">
        <v>1</v>
      </c>
      <c r="U8" t="inlineStr">
        <is>
          <t>INCORRECT</t>
        </is>
      </c>
      <c r="V8" t="inlineStr">
        <is>
          <t>L06</t>
        </is>
      </c>
      <c r="W8" t="inlineStr">
        <is>
          <t>Wd_max == 0,00225 (J).</t>
        </is>
      </c>
      <c r="X8" t="inlineStr">
        <is>
          <t>Sequential_Value_Drift (Wd_max: prev=0.000360000000000000 vs new=0.00225000000000000)</t>
        </is>
      </c>
      <c r="Y8" t="inlineStr">
        <is>
          <t>0.000360000000000000</t>
        </is>
      </c>
      <c r="Z8" t="n">
        <v>1</v>
      </c>
    </row>
    <row r="9">
      <c r="A9" t="inlineStr">
        <is>
          <t>sub_08</t>
        </is>
      </c>
      <c r="B9" t="inlineStr">
        <is>
          <t>q_22</t>
        </is>
      </c>
      <c r="C9" t="inlineStr">
        <is>
          <t>Calibration_11Q</t>
        </is>
      </c>
      <c r="D9" t="inlineStr">
        <is>
          <t>qwen3b</t>
        </is>
      </c>
      <c r="E9" t="inlineStr">
        <is>
          <t>SAI</t>
        </is>
      </c>
      <c r="F9" t="inlineStr">
        <is>
          <t>0.075</t>
        </is>
      </c>
      <c r="G9" t="inlineStr">
        <is>
          <t>INCORRECT</t>
        </is>
      </c>
      <c r="H9" t="inlineStr">
        <is>
          <t>Học sinh viết \(\alpha_0^2 = \frac{0.441}{78.4}\) nhưng Lời giải mẫu là \(\alpha_0^2 = \frac{0.441}{78.4}\). (Bước này tương đương toán học.)</t>
        </is>
      </c>
      <c r="I9" t="n">
        <v>0</v>
      </c>
      <c r="J9" t="inlineStr">
        <is>
          <t>INCORRECT</t>
        </is>
      </c>
      <c r="K9" t="inlineStr">
        <is>
          <t>L02</t>
        </is>
      </c>
      <c r="L9" t="n">
        <v>0</v>
      </c>
      <c r="M9" t="inlineStr">
        <is>
          <t>INCORRECT</t>
        </is>
      </c>
      <c r="N9" t="inlineStr">
        <is>
          <t>L06</t>
        </is>
      </c>
      <c r="O9" t="inlineStr">
        <is>
          <t>alpha0 == sqrt(0.00565625)</t>
        </is>
      </c>
      <c r="P9" t="n">
        <v>0</v>
      </c>
      <c r="Q9" t="inlineStr">
        <is>
          <t>INCORRECT</t>
        </is>
      </c>
      <c r="R9" t="inlineStr">
        <is>
          <t>L05</t>
        </is>
      </c>
      <c r="S9" t="inlineStr">
        <is>
          <t>alpha0^2 == 0,00565625.</t>
        </is>
      </c>
      <c r="T9" t="n">
        <v>1</v>
      </c>
      <c r="U9" t="inlineStr">
        <is>
          <t>INCORRECT</t>
        </is>
      </c>
      <c r="V9" t="inlineStr">
        <is>
          <t>L05</t>
        </is>
      </c>
      <c r="W9" t="inlineStr">
        <is>
          <t>alpha0^2 == 0,00565625.</t>
        </is>
      </c>
      <c r="X9" t="inlineStr">
        <is>
          <t>IntraStep_Calc_Error (9/1600 != 0.00565625000000000, Numeric_Mismatch(diff=3.125e-05,tol=1.00e-06))</t>
        </is>
      </c>
      <c r="Y9" t="inlineStr">
        <is>
          <t>9/1600</t>
        </is>
      </c>
      <c r="Z9" t="n">
        <v>1</v>
      </c>
    </row>
    <row r="10">
      <c r="A10" t="inlineStr">
        <is>
          <t>sub_09</t>
        </is>
      </c>
      <c r="B10" t="inlineStr">
        <is>
          <t>q_25</t>
        </is>
      </c>
      <c r="C10" t="inlineStr">
        <is>
          <t>HeldOut_Unseen_11Q</t>
        </is>
      </c>
      <c r="D10" t="inlineStr">
        <is>
          <t>qwen1_5b</t>
        </is>
      </c>
      <c r="E10" t="inlineStr">
        <is>
          <t>SAI</t>
        </is>
      </c>
      <c r="F10" t="inlineStr">
        <is>
          <t>4.08</t>
        </is>
      </c>
      <c r="G10" t="inlineStr">
        <is>
          <t>INCORRECT</t>
        </is>
      </c>
      <c r="H10" t="inlineStr">
        <is>
          <t>Học sinh viết \( \frac{A'}{A} = \sqrt{0.92} \approx 0.9539 \) nhưng Lời giải mẫu là \( \frac{A'}{A} = \sqrt{0.92} \approx 0.9592 \).</t>
        </is>
      </c>
      <c r="I10" t="n">
        <v>1</v>
      </c>
      <c r="J10" t="inlineStr">
        <is>
          <t>CORRECT</t>
        </is>
      </c>
      <c r="L10" t="n">
        <v>0</v>
      </c>
      <c r="M10" t="inlineStr">
        <is>
          <t>CORRECT</t>
        </is>
      </c>
      <c r="P10" t="n">
        <v>0</v>
      </c>
      <c r="Q10" t="inlineStr">
        <is>
          <t>INCORRECT</t>
        </is>
      </c>
      <c r="R10" t="inlineStr">
        <is>
          <t>L02</t>
        </is>
      </c>
      <c r="S10" t="inlineStr">
        <is>
          <t>sqrt(0,92) == 0,9539.</t>
        </is>
      </c>
      <c r="T10" t="n">
        <v>1</v>
      </c>
      <c r="U10" t="inlineStr">
        <is>
          <t>INCORRECT</t>
        </is>
      </c>
      <c r="V10" t="inlineStr">
        <is>
          <t>L02</t>
        </is>
      </c>
      <c r="W10" t="inlineStr">
        <is>
          <t>sqrt(0,92) == 0,9539.</t>
        </is>
      </c>
      <c r="X10" t="inlineStr">
        <is>
          <t>IntraStep_Calc_Error (0.959166304662544 != 0.953900000000000, Numeric_Mismatch(diff=0.0052663,tol=5.50e-05))</t>
        </is>
      </c>
      <c r="Y10" t="inlineStr">
        <is>
          <t>0.959166304662544</t>
        </is>
      </c>
      <c r="Z10" t="n">
        <v>1</v>
      </c>
    </row>
    <row r="11">
      <c r="A11" t="inlineStr">
        <is>
          <t>sub_10</t>
        </is>
      </c>
      <c r="B11" t="inlineStr">
        <is>
          <t>q_25</t>
        </is>
      </c>
      <c r="C11" t="inlineStr">
        <is>
          <t>HeldOut_Unseen_11Q</t>
        </is>
      </c>
      <c r="D11" t="inlineStr">
        <is>
          <t>qwen3b</t>
        </is>
      </c>
      <c r="E11" t="inlineStr">
        <is>
          <t>SAI</t>
        </is>
      </c>
      <c r="F11" t="inlineStr">
        <is>
          <t>4.08</t>
        </is>
      </c>
      <c r="G11" t="inlineStr">
        <is>
          <t>INCORRECT</t>
        </is>
      </c>
      <c r="H11" t="inlineStr">
        <is>
          <t>Học sinh viết \( \frac{A'}{A} \approx 0.9583 \) nhưng Lời giải mẫu là \( \frac{A'}{A} \approx 0.9592 \).</t>
        </is>
      </c>
      <c r="I11" t="n">
        <v>1</v>
      </c>
      <c r="J11" t="inlineStr">
        <is>
          <t>CORRECT</t>
        </is>
      </c>
      <c r="L11" t="n">
        <v>0</v>
      </c>
      <c r="M11" t="inlineStr">
        <is>
          <t>CORRECT</t>
        </is>
      </c>
      <c r="P11" t="n">
        <v>0</v>
      </c>
      <c r="Q11" t="inlineStr">
        <is>
          <t>INCORRECT</t>
        </is>
      </c>
      <c r="R11" t="inlineStr">
        <is>
          <t>L03</t>
        </is>
      </c>
      <c r="S11" t="inlineStr">
        <is>
          <t>sqrt(0,92) == 0,9583.</t>
        </is>
      </c>
      <c r="T11" t="n">
        <v>1</v>
      </c>
      <c r="U11" t="inlineStr">
        <is>
          <t>INCORRECT</t>
        </is>
      </c>
      <c r="V11" t="inlineStr">
        <is>
          <t>L03</t>
        </is>
      </c>
      <c r="W11" t="inlineStr">
        <is>
          <t>sqrt(0,92) == 0,9583.</t>
        </is>
      </c>
      <c r="X11" t="inlineStr">
        <is>
          <t>IntraStep_Calc_Error (0.959166304662544 != 0.958300000000000, Numeric_Mismatch(diff=0.0008663,tol=5.50e-05))</t>
        </is>
      </c>
      <c r="Y11" t="inlineStr">
        <is>
          <t>0.959166304662544</t>
        </is>
      </c>
      <c r="Z11" t="n">
        <v>1</v>
      </c>
    </row>
    <row r="12">
      <c r="A12" t="inlineStr">
        <is>
          <t>sub_11</t>
        </is>
      </c>
      <c r="B12" t="inlineStr">
        <is>
          <t>q_26</t>
        </is>
      </c>
      <c r="C12" t="inlineStr">
        <is>
          <t>Calibration_11Q</t>
        </is>
      </c>
      <c r="D12" t="inlineStr">
        <is>
          <t>qwen1_5b</t>
        </is>
      </c>
      <c r="E12" t="inlineStr">
        <is>
          <t>SAI</t>
        </is>
      </c>
      <c r="F12" t="inlineStr">
        <is>
          <t>27</t>
        </is>
      </c>
      <c r="G12" t="inlineStr">
        <is>
          <t>INCORRECT</t>
        </is>
      </c>
      <c r="H12" t="inlineStr">
        <is>
          <t>Học sinh viết \(\Delta t = t_1 + T = \frac{T}{6} + T = \frac{7T}{6} = \frac{7 \cdot 1}{6} = 1.167\) (s) nhưng Lời giải mẫu là \(\Delta t = t_1 + T = \frac{T}{6} + T = 0.167 + 1 = 1.167\) (s).</t>
        </is>
      </c>
      <c r="I12" t="n">
        <v>0</v>
      </c>
      <c r="J12" t="inlineStr">
        <is>
          <t>INCORRECT</t>
        </is>
      </c>
      <c r="K12" t="inlineStr">
        <is>
          <t>L08</t>
        </is>
      </c>
      <c r="L12" t="n">
        <v>0</v>
      </c>
      <c r="M12" t="inlineStr">
        <is>
          <t>INCORRECT</t>
        </is>
      </c>
      <c r="N12" t="inlineStr">
        <is>
          <t>L10</t>
        </is>
      </c>
      <c r="O12" t="inlineStr">
        <is>
          <t>v_tb == 31.5/1.167</t>
        </is>
      </c>
      <c r="P12" t="n">
        <v>1</v>
      </c>
      <c r="Q12" t="inlineStr">
        <is>
          <t>INCORRECT</t>
        </is>
      </c>
      <c r="R12" t="inlineStr">
        <is>
          <t>L08</t>
        </is>
      </c>
      <c r="S12" t="inlineStr">
        <is>
          <t>(7 . 1) / 6 == 1,167 (s).</t>
        </is>
      </c>
      <c r="T12" t="n">
        <v>0</v>
      </c>
      <c r="U12" t="inlineStr">
        <is>
          <t>INCORRECT</t>
        </is>
      </c>
      <c r="V12" t="inlineStr">
        <is>
          <t>L10</t>
        </is>
      </c>
      <c r="W12" t="inlineStr">
        <is>
          <t>31,5 / 1,167 == 27,19 (cm/s).</t>
        </is>
      </c>
      <c r="X12" t="inlineStr">
        <is>
          <t>IntraStep_Calc_Error (26.9922879177378 != 27.1900000000000, Numeric_Mismatch(diff=0.19771,tol=5.50e-03))</t>
        </is>
      </c>
      <c r="Y12" t="inlineStr">
        <is>
          <t>26.9922879177378</t>
        </is>
      </c>
      <c r="Z12" t="n">
        <v>1</v>
      </c>
    </row>
    <row r="13">
      <c r="A13" t="inlineStr">
        <is>
          <t>sub_12</t>
        </is>
      </c>
      <c r="B13" t="inlineStr">
        <is>
          <t>q_26</t>
        </is>
      </c>
      <c r="C13" t="inlineStr">
        <is>
          <t>Calibration_11Q</t>
        </is>
      </c>
      <c r="D13" t="inlineStr">
        <is>
          <t>qwen3b</t>
        </is>
      </c>
      <c r="E13" t="inlineStr">
        <is>
          <t>SAI</t>
        </is>
      </c>
      <c r="F13" t="inlineStr">
        <is>
          <t>27</t>
        </is>
      </c>
      <c r="G13" t="inlineStr">
        <is>
          <t>INCORRECT</t>
        </is>
      </c>
      <c r="H13" t="inlineStr">
        <is>
          <t>Học sinh viết \(\Delta t = \frac{7T}{6} = \frac{7 \cdot 1}{6} = \frac{7}{6} \text{ s}\) nhưng Lời giải mẫu là \(\Delta t = t_1 + T = \frac{T}{6} + T = \frac{1}{6} + 1 = 1.167 \text{ s}\).</t>
        </is>
      </c>
      <c r="I13" t="n">
        <v>0</v>
      </c>
      <c r="J13" t="inlineStr">
        <is>
          <t>CORRECT</t>
        </is>
      </c>
      <c r="L13" t="n">
        <v>0</v>
      </c>
      <c r="M13" t="inlineStr">
        <is>
          <t>CORRECT</t>
        </is>
      </c>
      <c r="P13" t="n">
        <v>0</v>
      </c>
      <c r="Q13" t="inlineStr">
        <is>
          <t>INCORRECT</t>
        </is>
      </c>
      <c r="R13" t="inlineStr">
        <is>
          <t>L10</t>
        </is>
      </c>
      <c r="S13" t="inlineStr">
        <is>
          <t>31,5 / 7/6 == 25,5 (cm/s).</t>
        </is>
      </c>
      <c r="T13" t="n">
        <v>1</v>
      </c>
      <c r="U13" t="inlineStr">
        <is>
          <t>INCORRECT</t>
        </is>
      </c>
      <c r="V13" t="inlineStr">
        <is>
          <t>L10</t>
        </is>
      </c>
      <c r="W13" t="inlineStr">
        <is>
          <t>31,5 / 7/6 == 25,5 (cm/s).</t>
        </is>
      </c>
      <c r="X13" t="inlineStr">
        <is>
          <t>IntraStep_Calc_Error (27.0000000000000 != 25.5000000000000, Numeric_Mismatch(diff=1.5,tol=5.50e-02))</t>
        </is>
      </c>
      <c r="Y13" t="inlineStr">
        <is>
          <t>27.0000000000000</t>
        </is>
      </c>
      <c r="Z13" t="n">
        <v>1</v>
      </c>
    </row>
    <row r="14">
      <c r="A14" t="inlineStr">
        <is>
          <t>sub_13</t>
        </is>
      </c>
      <c r="B14" t="inlineStr">
        <is>
          <t>q_28</t>
        </is>
      </c>
      <c r="C14" t="inlineStr">
        <is>
          <t>HeldOut_Unseen_11Q</t>
        </is>
      </c>
      <c r="D14" t="inlineStr">
        <is>
          <t>qwen3b</t>
        </is>
      </c>
      <c r="E14" t="inlineStr">
        <is>
          <t>SAI</t>
        </is>
      </c>
      <c r="F14" t="inlineStr">
        <is>
          <t>0.25</t>
        </is>
      </c>
      <c r="G14" t="inlineStr">
        <is>
          <t>INCORRECT</t>
        </is>
      </c>
      <c r="H14" t="inlineStr">
        <is>
          <t>Học sinh viết \(\omega = \frac{2\pi}{60} = \frac{\pi}{30} \text{ rad/s}\) và \(T = 60 \text{ s}\), nhưng Lời giải mẫu là \(\omega = \frac{200\pi}{60} = \frac{10\pi}{3} \text{ rad/s}\) và \(T = 0.6 \text{ s}\).</t>
        </is>
      </c>
      <c r="I14" t="n">
        <v>1</v>
      </c>
      <c r="J14" t="inlineStr">
        <is>
          <t>INCORRECT</t>
        </is>
      </c>
      <c r="K14" t="inlineStr">
        <is>
          <t>L01</t>
        </is>
      </c>
      <c r="L14" t="n">
        <v>1</v>
      </c>
      <c r="M14" t="inlineStr">
        <is>
          <t>INCORRECT</t>
        </is>
      </c>
      <c r="N14" t="inlineStr">
        <is>
          <t>L01</t>
        </is>
      </c>
      <c r="O14" t="inlineStr">
        <is>
          <t>omega == pi/30</t>
        </is>
      </c>
      <c r="P14" t="n">
        <v>1</v>
      </c>
      <c r="Q14" t="inlineStr">
        <is>
          <t>INCORRECT</t>
        </is>
      </c>
      <c r="R14" t="inlineStr">
        <is>
          <t>L01</t>
        </is>
      </c>
      <c r="S14" t="inlineStr">
        <is>
          <t>a_max / v_max == 2.pi / 60</t>
        </is>
      </c>
      <c r="T14" t="n">
        <v>1</v>
      </c>
      <c r="U14" t="inlineStr">
        <is>
          <t>INCORRECT</t>
        </is>
      </c>
      <c r="V14" t="inlineStr">
        <is>
          <t>L01</t>
        </is>
      </c>
      <c r="W14" t="inlineStr">
        <is>
          <t>a_max / v_max == 2.pi / 60</t>
        </is>
      </c>
      <c r="X14" t="inlineStr">
        <is>
          <t>IntraStep_Calc_Error (10*pi/3 != pi/30, Numeric_Mismatch(diff=10.367,tol=1.00e-06))</t>
        </is>
      </c>
      <c r="Y14" t="inlineStr">
        <is>
          <t>10*pi/3</t>
        </is>
      </c>
      <c r="Z14" t="n">
        <v>1</v>
      </c>
    </row>
    <row r="15">
      <c r="A15" t="inlineStr">
        <is>
          <t>sub_14</t>
        </is>
      </c>
      <c r="B15" t="inlineStr">
        <is>
          <t>q_28</t>
        </is>
      </c>
      <c r="C15" t="inlineStr">
        <is>
          <t>HeldOut_Unseen_11Q</t>
        </is>
      </c>
      <c r="D15" t="inlineStr">
        <is>
          <t>qwen7b</t>
        </is>
      </c>
      <c r="E15" t="inlineStr">
        <is>
          <t>SAI</t>
        </is>
      </c>
      <c r="F15" t="inlineStr">
        <is>
          <t>0.25</t>
        </is>
      </c>
      <c r="G15" t="inlineStr">
        <is>
          <t>INCORRECT</t>
        </is>
      </c>
      <c r="H15" t="inlineStr">
        <is>
          <t>Học sinh viết \(t = \frac{5T}{12}\) nhưng Lời giải mẫu là \(t = \frac{T}{12} + \frac{T}{4} + \frac{T}{12} = \frac{5T}{12}\). Tuy nhiên, học sinh đã tính sai tổng thời gian di chuyển, kết quả là \(t = 0.3\) s thay vì \(t = 0.25\) s.</t>
        </is>
      </c>
      <c r="I15" t="n">
        <v>1</v>
      </c>
      <c r="J15" t="inlineStr">
        <is>
          <t>CORRECT</t>
        </is>
      </c>
      <c r="L15" t="n">
        <v>0</v>
      </c>
      <c r="M15" t="inlineStr">
        <is>
          <t>INCORRECT</t>
        </is>
      </c>
      <c r="N15" t="inlineStr">
        <is>
          <t>L11</t>
        </is>
      </c>
      <c r="O15" t="inlineStr">
        <is>
          <t>t == 3/10</t>
        </is>
      </c>
      <c r="P15" t="n">
        <v>1</v>
      </c>
      <c r="Q15" t="inlineStr">
        <is>
          <t>INCORRECT</t>
        </is>
      </c>
      <c r="R15" t="inlineStr">
        <is>
          <t>L10</t>
        </is>
      </c>
      <c r="S15" t="inlineStr">
        <is>
          <t>t_1 + t_2 + t_3 == \frac{T}{12} + \frac{T}{4} + \frac{T}{12}</t>
        </is>
      </c>
      <c r="T15" t="n">
        <v>1</v>
      </c>
      <c r="U15" t="inlineStr">
        <is>
          <t>INCORRECT</t>
        </is>
      </c>
      <c r="V15" t="inlineStr">
        <is>
          <t>L11</t>
        </is>
      </c>
      <c r="W15" t="inlineStr">
        <is>
          <t>\frac{5 \times 0.6}{12} == \frac{3}{10}</t>
        </is>
      </c>
      <c r="X15" t="inlineStr">
        <is>
          <t>IntraStep_Calc_Error (0.250000000000000 != 3/10, Numeric_Mismatch(diff=0.05,tol=1.00e-06))</t>
        </is>
      </c>
      <c r="Y15" t="inlineStr">
        <is>
          <t>0.250000000000000</t>
        </is>
      </c>
      <c r="Z15" t="n">
        <v>1</v>
      </c>
    </row>
    <row r="16">
      <c r="A16" t="inlineStr">
        <is>
          <t>sub_15</t>
        </is>
      </c>
      <c r="B16" t="inlineStr">
        <is>
          <t>q_29</t>
        </is>
      </c>
      <c r="C16" t="inlineStr">
        <is>
          <t>Calibration_11Q</t>
        </is>
      </c>
      <c r="D16" t="inlineStr">
        <is>
          <t>qwen1_5b</t>
        </is>
      </c>
      <c r="E16" t="inlineStr">
        <is>
          <t>SAI</t>
        </is>
      </c>
      <c r="F16" t="inlineStr">
        <is>
          <t>7/24</t>
        </is>
      </c>
      <c r="G16" t="inlineStr">
        <is>
          <t>INCORRECT</t>
        </is>
      </c>
      <c r="H16" t="inlineStr">
        <is>
          <t>Học sinh viết \(\Delta\phi = \frac{3\pi}{2}\) rad nhưng Lời giải mẫu là \(\Delta\phi = \frac{7\pi}{6}\) rad.</t>
        </is>
      </c>
      <c r="I16" t="n">
        <v>0</v>
      </c>
      <c r="J16" t="inlineStr">
        <is>
          <t>INCORRECT</t>
        </is>
      </c>
      <c r="K16" t="inlineStr">
        <is>
          <t>L01</t>
        </is>
      </c>
      <c r="L16" t="n">
        <v>0</v>
      </c>
      <c r="M16" t="inlineStr">
        <is>
          <t>INCORRECT</t>
        </is>
      </c>
      <c r="N16" t="inlineStr">
        <is>
          <t>L05</t>
        </is>
      </c>
      <c r="O16" t="inlineStr">
        <is>
          <t>delta_phi == 3*pi/2</t>
        </is>
      </c>
      <c r="P16" t="n">
        <v>0</v>
      </c>
      <c r="Q16" t="inlineStr">
        <is>
          <t>INCORRECT</t>
        </is>
      </c>
      <c r="R16" t="inlineStr">
        <is>
          <t>L02</t>
        </is>
      </c>
      <c r="S16" t="inlineStr">
        <is>
          <t>phi1 == -π/6 rad.</t>
        </is>
      </c>
      <c r="T16" t="n">
        <v>1</v>
      </c>
      <c r="U16" t="inlineStr">
        <is>
          <t>INCORRECT</t>
        </is>
      </c>
      <c r="V16" t="inlineStr">
        <is>
          <t>L02</t>
        </is>
      </c>
      <c r="W16" t="inlineStr">
        <is>
          <t>phi1 == -π/6 rad.</t>
        </is>
      </c>
      <c r="X16" t="inlineStr">
        <is>
          <t>Canonical_State_Mismatch (phi1=-pi/6 vs gold=-pi/3)</t>
        </is>
      </c>
      <c r="Y16" t="inlineStr">
        <is>
          <t>-pi/3</t>
        </is>
      </c>
      <c r="Z16" t="n">
        <v>1</v>
      </c>
    </row>
    <row r="17">
      <c r="A17" t="inlineStr">
        <is>
          <t>sub_16</t>
        </is>
      </c>
      <c r="B17" t="inlineStr">
        <is>
          <t>q_30</t>
        </is>
      </c>
      <c r="C17" t="inlineStr">
        <is>
          <t>HeldOut_Unseen_11Q</t>
        </is>
      </c>
      <c r="D17" t="inlineStr">
        <is>
          <t>qwen3b</t>
        </is>
      </c>
      <c r="E17" t="inlineStr">
        <is>
          <t>SAI</t>
        </is>
      </c>
      <c r="F17" t="inlineStr">
        <is>
          <t>403.4</t>
        </is>
      </c>
      <c r="G17" t="inlineStr">
        <is>
          <t>INCORRECT</t>
        </is>
      </c>
      <c r="H17" t="inlineStr">
        <is>
          <t>Học sinh viết t1 = 1,047 / 5π ≈ 0,066 s nhưng Lời giải mẫu là t1 = 1/5 = 0,2 s.</t>
        </is>
      </c>
      <c r="I17" t="n">
        <v>0</v>
      </c>
      <c r="J17" t="inlineStr">
        <is>
          <t>INCORRECT</t>
        </is>
      </c>
      <c r="K17" t="inlineStr">
        <is>
          <t>L02</t>
        </is>
      </c>
      <c r="L17" t="n">
        <v>0</v>
      </c>
      <c r="M17" t="inlineStr">
        <is>
          <t>CORRECT</t>
        </is>
      </c>
      <c r="P17" t="n">
        <v>0</v>
      </c>
      <c r="Q17" t="inlineStr">
        <is>
          <t>INCORRECT</t>
        </is>
      </c>
      <c r="R17" t="inlineStr">
        <is>
          <t>L06</t>
        </is>
      </c>
      <c r="S17" t="inlineStr">
        <is>
          <t>2π/3 + π/3 == 1,047 rad.</t>
        </is>
      </c>
      <c r="T17" t="n">
        <v>1</v>
      </c>
      <c r="U17" t="inlineStr">
        <is>
          <t>INCORRECT</t>
        </is>
      </c>
      <c r="V17" t="inlineStr">
        <is>
          <t>L06</t>
        </is>
      </c>
      <c r="W17" t="inlineStr">
        <is>
          <t>2π/3 + π/3 == 1,047 rad.</t>
        </is>
      </c>
      <c r="X17" t="inlineStr">
        <is>
          <t>IntraStep_Calc_Error (pi != 1.04700000000000, Numeric_Mismatch(diff=2.0946,tol=5.50e-04))</t>
        </is>
      </c>
      <c r="Y17" t="inlineStr">
        <is>
          <t>pi</t>
        </is>
      </c>
      <c r="Z17" t="n">
        <v>1</v>
      </c>
    </row>
    <row r="18">
      <c r="A18" t="inlineStr">
        <is>
          <t>sub_17</t>
        </is>
      </c>
      <c r="B18" t="inlineStr">
        <is>
          <t>q_31</t>
        </is>
      </c>
      <c r="C18" t="inlineStr">
        <is>
          <t>Calibration_11Q</t>
        </is>
      </c>
      <c r="D18" t="inlineStr">
        <is>
          <t>qwen1_5b</t>
        </is>
      </c>
      <c r="E18" t="inlineStr">
        <is>
          <t>SAI</t>
        </is>
      </c>
      <c r="F18" t="inlineStr">
        <is>
          <t>140.66</t>
        </is>
      </c>
      <c r="G18" t="inlineStr">
        <is>
          <t>INCORRECT</t>
        </is>
      </c>
      <c r="H18" t="inlineStr">
        <is>
          <t>Học sinh viết \( S = A(2 - \frac{\sqrt{3}}{2}) \) nhưng Lời giải mẫu là \( S = A(2 - \sqrt{3}) \).</t>
        </is>
      </c>
      <c r="I18" t="n">
        <v>1</v>
      </c>
      <c r="J18" t="inlineStr">
        <is>
          <t>CORRECT</t>
        </is>
      </c>
      <c r="L18" t="n">
        <v>0</v>
      </c>
      <c r="M18" t="inlineStr">
        <is>
          <t>INCORRECT</t>
        </is>
      </c>
      <c r="N18" t="inlineStr">
        <is>
          <t>L06</t>
        </is>
      </c>
      <c r="O18" t="inlineStr">
        <is>
          <t>S == A*(2 - sqrt(3)/2)</t>
        </is>
      </c>
      <c r="P18" t="n">
        <v>1</v>
      </c>
      <c r="Q18" t="inlineStr">
        <is>
          <t>INCORRECT</t>
        </is>
      </c>
      <c r="R18" t="inlineStr">
        <is>
          <t>L06</t>
        </is>
      </c>
      <c r="S18" t="inlineStr">
        <is>
          <t>S == A(2 - \frac{\sqrt{3}}{2})</t>
        </is>
      </c>
      <c r="T18" t="n">
        <v>1</v>
      </c>
      <c r="U18" t="inlineStr">
        <is>
          <t>INCORRECT</t>
        </is>
      </c>
      <c r="V18" t="inlineStr">
        <is>
          <t>L06</t>
        </is>
      </c>
      <c r="W18" t="inlineStr">
        <is>
          <t>S == A(2 - \frac{\sqrt{3}}{2})</t>
        </is>
      </c>
      <c r="X18" t="inlineStr">
        <is>
          <t>Canonical_State_Mismatch (S=6*(2 - sqrt(3)/2)/(2 - sqrt(3)) vs gold=6)</t>
        </is>
      </c>
      <c r="Y18" t="inlineStr">
        <is>
          <t>6</t>
        </is>
      </c>
      <c r="Z18" t="n">
        <v>1</v>
      </c>
    </row>
    <row r="19">
      <c r="A19" t="inlineStr">
        <is>
          <t>sub_18</t>
        </is>
      </c>
      <c r="B19" t="inlineStr">
        <is>
          <t>q_31</t>
        </is>
      </c>
      <c r="C19" t="inlineStr">
        <is>
          <t>Calibration_11Q</t>
        </is>
      </c>
      <c r="D19" t="inlineStr">
        <is>
          <t>qwen3b</t>
        </is>
      </c>
      <c r="E19" t="inlineStr">
        <is>
          <t>SAI</t>
        </is>
      </c>
      <c r="F19" t="inlineStr">
        <is>
          <t>140.66</t>
        </is>
      </c>
      <c r="G19" t="inlineStr">
        <is>
          <t>INCORRECT</t>
        </is>
      </c>
      <c r="H19" t="inlineStr">
        <is>
          <t>Học sinh viết Chu kỳ \( T = 0,5 \) s và tần số góc \( \omega = 4\pi \) rad/s, nhưng Lời giải mẫu là Chu kỳ \( T = 1 \) s và tần số góc \( \omega = 2\pi \) rad/s.</t>
        </is>
      </c>
      <c r="I19" t="n">
        <v>1</v>
      </c>
      <c r="J19" t="inlineStr">
        <is>
          <t>INCORRECT</t>
        </is>
      </c>
      <c r="K19" t="inlineStr">
        <is>
          <t>L07</t>
        </is>
      </c>
      <c r="L19" t="n">
        <v>0</v>
      </c>
      <c r="M19" t="inlineStr">
        <is>
          <t>INCORRECT</t>
        </is>
      </c>
      <c r="N19" t="inlineStr">
        <is>
          <t>L03</t>
        </is>
      </c>
      <c r="O19" t="inlineStr">
        <is>
          <t>T == 0.5</t>
        </is>
      </c>
      <c r="P19" t="n">
        <v>1</v>
      </c>
      <c r="Q19" t="inlineStr">
        <is>
          <t>INCORRECT</t>
        </is>
      </c>
      <c r="R19" t="inlineStr">
        <is>
          <t>L03</t>
        </is>
      </c>
      <c r="S19" t="inlineStr">
        <is>
          <t>T == 0,5 s</t>
        </is>
      </c>
      <c r="T19" t="n">
        <v>1</v>
      </c>
      <c r="U19" t="inlineStr">
        <is>
          <t>INCORRECT</t>
        </is>
      </c>
      <c r="V19" t="inlineStr">
        <is>
          <t>L03</t>
        </is>
      </c>
      <c r="W19" t="inlineStr">
        <is>
          <t>T == 0,5 s</t>
        </is>
      </c>
      <c r="X19" t="inlineStr">
        <is>
          <t>Canonical_State_Mismatch (T=0.500000000000000 vs gold=1)</t>
        </is>
      </c>
      <c r="Y19" t="inlineStr">
        <is>
          <t>1</t>
        </is>
      </c>
      <c r="Z19" t="n">
        <v>1</v>
      </c>
    </row>
    <row r="20">
      <c r="A20" t="inlineStr">
        <is>
          <t>sub_19</t>
        </is>
      </c>
      <c r="B20" t="inlineStr">
        <is>
          <t>q_32</t>
        </is>
      </c>
      <c r="C20" t="inlineStr">
        <is>
          <t>HeldOut_Unseen_11Q</t>
        </is>
      </c>
      <c r="D20" t="inlineStr">
        <is>
          <t>qwen1_5b</t>
        </is>
      </c>
      <c r="E20" t="inlineStr">
        <is>
          <t>SAI</t>
        </is>
      </c>
      <c r="F20" t="inlineStr">
        <is>
          <t>T/8</t>
        </is>
      </c>
      <c r="G20" t="inlineStr">
        <is>
          <t>INCORRECT</t>
        </is>
      </c>
      <c r="H20" t="inlineStr">
        <is>
          <t>Học sinh viết \( t = \frac{T}{4} \) nhưng Lời giải mẫu là \( t = \frac{T}{8} \).</t>
        </is>
      </c>
      <c r="I20" t="n">
        <v>0</v>
      </c>
      <c r="J20" t="inlineStr">
        <is>
          <t>CORRECT</t>
        </is>
      </c>
      <c r="L20" t="n">
        <v>0</v>
      </c>
      <c r="M20" t="inlineStr">
        <is>
          <t>CORRECT</t>
        </is>
      </c>
      <c r="P20" t="n">
        <v>0</v>
      </c>
      <c r="Q20" t="inlineStr">
        <is>
          <t>INCORRECT</t>
        </is>
      </c>
      <c r="R20" t="inlineStr">
        <is>
          <t>L05</t>
        </is>
      </c>
      <c r="S20" t="inlineStr">
        <is>
          <t>Wd == \frac{1}{2} k x^{2}</t>
        </is>
      </c>
      <c r="T20" t="n">
        <v>1</v>
      </c>
      <c r="U20" t="inlineStr">
        <is>
          <t>INCORRECT</t>
        </is>
      </c>
      <c r="V20" t="inlineStr">
        <is>
          <t>L05</t>
        </is>
      </c>
      <c r="W20" t="inlineStr">
        <is>
          <t>Wd == \frac{1}{2} k x^{2}</t>
        </is>
      </c>
      <c r="X20" t="inlineStr">
        <is>
          <t>Physical_Law_Error (Symbolic_Mismatch)</t>
        </is>
      </c>
      <c r="Y20" t="inlineStr">
        <is>
          <t>k*(A**2 - x**2)/2</t>
        </is>
      </c>
      <c r="Z20" t="n">
        <v>1</v>
      </c>
    </row>
    <row r="21">
      <c r="A21" t="inlineStr">
        <is>
          <t>sub_20</t>
        </is>
      </c>
      <c r="B21" t="inlineStr">
        <is>
          <t>q_33</t>
        </is>
      </c>
      <c r="C21" t="inlineStr">
        <is>
          <t>Calibration_11Q</t>
        </is>
      </c>
      <c r="D21" t="inlineStr">
        <is>
          <t>qwen1_5b</t>
        </is>
      </c>
      <c r="E21" t="inlineStr">
        <is>
          <t>SAI</t>
        </is>
      </c>
      <c r="F21" t="inlineStr">
        <is>
          <t>1000</t>
        </is>
      </c>
      <c r="G21" t="inlineStr">
        <is>
          <t>INCORRECT</t>
        </is>
      </c>
      <c r="H21" t="inlineStr">
        <is>
          <t>Học sinh viết \(\left(\frac{10\pi}{10\sqrt{2}\pi}\right)^2 + \left(\frac{a}{100\pi^2 \sqrt{2}}\right)^2 = 1\) nhưng Lời giải mẫu là \(\left(\frac{v}{v_{\text{max}}}\right)^2 + \left(\frac{a}{a_{\text{max}}}\right)^2 = 1\).</t>
        </is>
      </c>
      <c r="I21" t="n">
        <v>0</v>
      </c>
      <c r="J21" t="inlineStr">
        <is>
          <t>INCORRECT</t>
        </is>
      </c>
      <c r="K21" t="inlineStr">
        <is>
          <t>L05</t>
        </is>
      </c>
      <c r="L21" t="n">
        <v>0</v>
      </c>
      <c r="M21" t="inlineStr">
        <is>
          <t>INCORRECT</t>
        </is>
      </c>
      <c r="N21" t="inlineStr">
        <is>
          <t>L05</t>
        </is>
      </c>
      <c r="O21" t="inlineStr">
        <is>
          <t>(10*pi/10*sqrt(2)*pi)**2 + (a/(100*pi**2*sqrt(2)))**2 == 1</t>
        </is>
      </c>
      <c r="P21" t="n">
        <v>0</v>
      </c>
      <c r="Q21" t="inlineStr">
        <is>
          <t>INCORRECT</t>
        </is>
      </c>
      <c r="R21" t="inlineStr">
        <is>
          <t>L05</t>
        </is>
      </c>
      <c r="S21" t="inlineStr">
        <is>
          <t>(10π / 10√2 π)^2 + (a / 100π^2 . √2)^2 == 1.</t>
        </is>
      </c>
      <c r="T21" t="n">
        <v>0</v>
      </c>
      <c r="U21" t="inlineStr">
        <is>
          <t>INCORRECT</t>
        </is>
      </c>
      <c r="V21" t="inlineStr">
        <is>
          <t>L06</t>
        </is>
      </c>
      <c r="W21" t="inlineStr">
        <is>
          <t>1/4 + (a / 100π^2 . √2)^2 == 1</t>
        </is>
      </c>
      <c r="X21" t="inlineStr">
        <is>
          <t>IntraStep_Calc_Error (9/4 != 1, Numeric_Mismatch(diff=1.25,tol=5.50e-01))</t>
        </is>
      </c>
      <c r="Y21" t="inlineStr">
        <is>
          <t>9/4</t>
        </is>
      </c>
      <c r="Z21" t="n">
        <v>1</v>
      </c>
    </row>
    <row r="22">
      <c r="A22" t="inlineStr">
        <is>
          <t>sub_21</t>
        </is>
      </c>
      <c r="B22" t="inlineStr">
        <is>
          <t>q_33</t>
        </is>
      </c>
      <c r="C22" t="inlineStr">
        <is>
          <t>Calibration_11Q</t>
        </is>
      </c>
      <c r="D22" t="inlineStr">
        <is>
          <t>qwen3b</t>
        </is>
      </c>
      <c r="E22" t="inlineStr">
        <is>
          <t>SAI</t>
        </is>
      </c>
      <c r="F22" t="inlineStr">
        <is>
          <t>1000</t>
        </is>
      </c>
      <c r="G22" t="inlineStr">
        <is>
          <t>INCORRECT</t>
        </is>
      </c>
      <c r="H22" t="inlineStr">
        <is>
          <t>Học sinh viết \(|a| = 100\pi^2\sqrt{2} / \sqrt{2} = 100\pi^2\) nhưng Lời giải mẫu là \(|a| = 100\pi^2\).</t>
        </is>
      </c>
      <c r="I22" t="n">
        <v>0</v>
      </c>
      <c r="J22" t="inlineStr">
        <is>
          <t>INCORRECT</t>
        </is>
      </c>
      <c r="K22" t="inlineStr">
        <is>
          <t>L01</t>
        </is>
      </c>
      <c r="L22" t="n">
        <v>0</v>
      </c>
      <c r="M22" t="inlineStr">
        <is>
          <t>INCORRECT</t>
        </is>
      </c>
      <c r="N22" t="inlineStr">
        <is>
          <t>L06</t>
        </is>
      </c>
      <c r="O22" t="inlineStr">
        <is>
          <t>(10*pi / 10*pi*sqrt(2))**2 + (a / 100*pi**2*sqrt(2))**2 == 1</t>
        </is>
      </c>
      <c r="P22" t="n">
        <v>0</v>
      </c>
      <c r="Q22" t="inlineStr">
        <is>
          <t>INCORRECT</t>
        </is>
      </c>
      <c r="R22" t="inlineStr">
        <is>
          <t>L09</t>
        </is>
      </c>
      <c r="S22" t="inlineStr">
        <is>
          <t>π^2 == 9,87</t>
        </is>
      </c>
      <c r="T22" t="n">
        <v>1</v>
      </c>
      <c r="U22" t="inlineStr">
        <is>
          <t>INCORRECT</t>
        </is>
      </c>
      <c r="V22" t="inlineStr">
        <is>
          <t>L09</t>
        </is>
      </c>
      <c r="W22" t="inlineStr">
        <is>
          <t>|a| == 100 . 9,87 . 1,41</t>
        </is>
      </c>
      <c r="X22" t="inlineStr">
        <is>
          <t>IntraStep_Calc_Error (100*pi**2 != 1391.67000000000, Numeric_Mismatch(diff=404.71,tol=1.00e-06))</t>
        </is>
      </c>
      <c r="Y22" t="inlineStr">
        <is>
          <t>100*pi**2</t>
        </is>
      </c>
      <c r="Z22" t="n">
        <v>1</v>
      </c>
    </row>
    <row r="23">
      <c r="A23" t="inlineStr">
        <is>
          <t>sub_22</t>
        </is>
      </c>
      <c r="B23" t="inlineStr">
        <is>
          <t>q_34</t>
        </is>
      </c>
      <c r="C23" t="inlineStr">
        <is>
          <t>HeldOut_Unseen_11Q</t>
        </is>
      </c>
      <c r="D23" t="inlineStr">
        <is>
          <t>qwen1_5b</t>
        </is>
      </c>
      <c r="E23" t="inlineStr">
        <is>
          <t>SAI</t>
        </is>
      </c>
      <c r="F23" t="inlineStr">
        <is>
          <t>0.5</t>
        </is>
      </c>
      <c r="G23" t="inlineStr">
        <is>
          <t>INCORRECT</t>
        </is>
      </c>
      <c r="H23" t="inlineStr">
        <is>
          <t>Học sinh viết \(\omega = \frac{vx}{\sqrt{75}}\) nhưng Lời giải mẫu là \(\omega = 4\pi\).</t>
        </is>
      </c>
      <c r="I23" t="n">
        <v>0</v>
      </c>
      <c r="J23" t="inlineStr">
        <is>
          <t>CORRECT</t>
        </is>
      </c>
      <c r="L23" t="n">
        <v>0</v>
      </c>
      <c r="M23" t="inlineStr">
        <is>
          <t>INCORRECT</t>
        </is>
      </c>
      <c r="N23" t="inlineStr">
        <is>
          <t>L13</t>
        </is>
      </c>
      <c r="O23" t="inlineStr">
        <is>
          <t>T == pi * sqrt(75) / 10</t>
        </is>
      </c>
      <c r="P23" t="n">
        <v>1</v>
      </c>
      <c r="Q23" t="inlineStr">
        <is>
          <t>INCORRECT</t>
        </is>
      </c>
      <c r="R23" t="inlineStr">
        <is>
          <t>L13</t>
        </is>
      </c>
      <c r="S23" t="inlineStr">
        <is>
          <t>2π * √75 / (20π√3) == π * √75 / 10</t>
        </is>
      </c>
      <c r="T23" t="n">
        <v>1</v>
      </c>
      <c r="U23" t="inlineStr">
        <is>
          <t>INCORRECT</t>
        </is>
      </c>
      <c r="V23" t="inlineStr">
        <is>
          <t>L13</t>
        </is>
      </c>
      <c r="W23" t="inlineStr">
        <is>
          <t>2π * √75 / (20π√3) == π * √75 / 10</t>
        </is>
      </c>
      <c r="X23" t="inlineStr">
        <is>
          <t>IntraStep_Calc_Error (1/2 != sqrt(3)*pi/2, Numeric_Mismatch(diff=2.2207,tol=1.00e-06))</t>
        </is>
      </c>
      <c r="Y23" t="inlineStr">
        <is>
          <t>1/2</t>
        </is>
      </c>
      <c r="Z23" t="n">
        <v>1</v>
      </c>
    </row>
    <row r="24">
      <c r="A24" t="inlineStr">
        <is>
          <t>sub_23</t>
        </is>
      </c>
      <c r="B24" t="inlineStr">
        <is>
          <t>q_35</t>
        </is>
      </c>
      <c r="C24" t="inlineStr">
        <is>
          <t>Calibration_11Q</t>
        </is>
      </c>
      <c r="D24" t="inlineStr">
        <is>
          <t>qwen1_5b</t>
        </is>
      </c>
      <c r="E24" t="inlineStr">
        <is>
          <t>SAI</t>
        </is>
      </c>
      <c r="F24" t="inlineStr">
        <is>
          <t>{'A': 6, 'omega': 20}</t>
        </is>
      </c>
      <c r="G24" t="inlineStr">
        <is>
          <t>INCORRECT</t>
        </is>
      </c>
      <c r="H24" t="inlineStr">
        <is>
          <t>Học sinh viết \(\omega = \sqrt{\frac{9}{3600}} = \sqrt{\frac{1}{400}} = \frac{1}{20} \text{ rad/s}\) nhưng Lời giải mẫu là \(\omega = \sqrt{\frac{3600}{9}} = \sqrt{400} = 20 \text{ rad/s}\).</t>
        </is>
      </c>
      <c r="I24" t="n">
        <v>1</v>
      </c>
      <c r="J24" t="inlineStr">
        <is>
          <t>INCORRECT</t>
        </is>
      </c>
      <c r="K24" t="inlineStr">
        <is>
          <t>L09</t>
        </is>
      </c>
      <c r="L24" t="n">
        <v>1</v>
      </c>
      <c r="M24" t="inlineStr">
        <is>
          <t>INCORRECT</t>
        </is>
      </c>
      <c r="N24" t="inlineStr">
        <is>
          <t>L09</t>
        </is>
      </c>
      <c r="O24" t="inlineStr">
        <is>
          <t>omega == sqrt((x_2**2 - x_1**2)/(v_1**2 - v_2**2))</t>
        </is>
      </c>
      <c r="P24" t="n">
        <v>1</v>
      </c>
      <c r="Q24" t="inlineStr">
        <is>
          <t>INCORRECT</t>
        </is>
      </c>
      <c r="R24" t="inlineStr">
        <is>
          <t>L09</t>
        </is>
      </c>
      <c r="S24" t="inlineStr">
        <is>
          <t>\omega == \sqrt{\frac{x_2^2 - x_1^2}{v_1^2 - v_2^2}}</t>
        </is>
      </c>
      <c r="T24" t="n">
        <v>1</v>
      </c>
      <c r="U24" t="inlineStr">
        <is>
          <t>INCORRECT</t>
        </is>
      </c>
      <c r="V24" t="inlineStr">
        <is>
          <t>L09</t>
        </is>
      </c>
      <c r="W24" t="inlineStr">
        <is>
          <t>\omega == \sqrt{\frac{x_2^2 - x_1^2}{v_1^2 - v_2^2}}</t>
        </is>
      </c>
      <c r="X24" t="inlineStr">
        <is>
          <t>Canonical_State_Mismatch (omega=1/20 vs gold=20)</t>
        </is>
      </c>
      <c r="Y24" t="inlineStr">
        <is>
          <t>20</t>
        </is>
      </c>
      <c r="Z24" t="n">
        <v>1</v>
      </c>
    </row>
    <row r="25">
      <c r="A25" t="inlineStr">
        <is>
          <t>sub_24</t>
        </is>
      </c>
      <c r="B25" t="inlineStr">
        <is>
          <t>q_35</t>
        </is>
      </c>
      <c r="C25" t="inlineStr">
        <is>
          <t>Calibration_11Q</t>
        </is>
      </c>
      <c r="D25" t="inlineStr">
        <is>
          <t>qwen3b</t>
        </is>
      </c>
      <c r="E25" t="inlineStr">
        <is>
          <t>SAI</t>
        </is>
      </c>
      <c r="F25" t="inlineStr">
        <is>
          <t>{'A': 6, 'omega': 20}</t>
        </is>
      </c>
      <c r="G25" t="inlineStr">
        <is>
          <t>INCORRECT</t>
        </is>
      </c>
      <c r="H25" t="inlineStr">
        <is>
          <t>Học sinh viết \( A^2 = 9 + \frac{9}{4} = \frac{45}{4} \) nhưng Lời giải mẫu là \( A^2 = 9 + 27 = 36 \).</t>
        </is>
      </c>
      <c r="I25" t="n">
        <v>1</v>
      </c>
      <c r="J25" t="inlineStr">
        <is>
          <t>INCORRECT</t>
        </is>
      </c>
      <c r="K25" t="inlineStr">
        <is>
          <t>L03</t>
        </is>
      </c>
      <c r="L25" t="n">
        <v>0</v>
      </c>
      <c r="M25" t="inlineStr">
        <is>
          <t>INCORRECT</t>
        </is>
      </c>
      <c r="N25" t="inlineStr">
        <is>
          <t>L03</t>
        </is>
      </c>
      <c r="O25" t="inlineStr">
        <is>
          <t>(v1/omega)**2 == (v2/omega)**2</t>
        </is>
      </c>
      <c r="P25" t="n">
        <v>0</v>
      </c>
      <c r="Q25" t="inlineStr">
        <is>
          <t>INCORRECT</t>
        </is>
      </c>
      <c r="R25" t="inlineStr">
        <is>
          <t>L08</t>
        </is>
      </c>
      <c r="S25" t="inlineStr">
        <is>
          <t>(-60.sqrt(3) / 20)^2 == 900 / 400</t>
        </is>
      </c>
      <c r="T25" t="n">
        <v>1</v>
      </c>
      <c r="U25" t="inlineStr">
        <is>
          <t>INCORRECT</t>
        </is>
      </c>
      <c r="V25" t="inlineStr">
        <is>
          <t>L08</t>
        </is>
      </c>
      <c r="W25" t="inlineStr">
        <is>
          <t>(-60.sqrt(3) / 20)^2 == 900 / 400</t>
        </is>
      </c>
      <c r="X25" t="inlineStr">
        <is>
          <t>IntraStep_Calc_Error (27 != 9/4, Numeric_Mismatch(diff=24.75,tol=1.00e-06))</t>
        </is>
      </c>
      <c r="Y25" t="inlineStr">
        <is>
          <t>27</t>
        </is>
      </c>
      <c r="Z25" t="n">
        <v>1</v>
      </c>
    </row>
    <row r="26">
      <c r="A26" t="inlineStr">
        <is>
          <t>sub_25</t>
        </is>
      </c>
      <c r="B26" t="inlineStr">
        <is>
          <t>q_36</t>
        </is>
      </c>
      <c r="C26" t="inlineStr">
        <is>
          <t>HeldOut_Unseen_11Q</t>
        </is>
      </c>
      <c r="D26" t="inlineStr">
        <is>
          <t>qwen1_5b</t>
        </is>
      </c>
      <c r="E26" t="inlineStr">
        <is>
          <t>SAI</t>
        </is>
      </c>
      <c r="F26" t="inlineStr">
        <is>
          <t>1/12</t>
        </is>
      </c>
      <c r="G26" t="inlineStr">
        <is>
          <t>INCORRECT</t>
        </is>
      </c>
      <c r="H26" t="inlineStr">
        <is>
          <t>Học sinh viết \( x = -\frac{1}{2}A \) nhưng Lời giải mẫu là \( x = \frac{A}{2} \).</t>
        </is>
      </c>
      <c r="I26" t="n">
        <v>1</v>
      </c>
      <c r="J26" t="inlineStr">
        <is>
          <t>INCORRECT</t>
        </is>
      </c>
      <c r="K26" t="inlineStr">
        <is>
          <t>L09</t>
        </is>
      </c>
      <c r="L26" t="n">
        <v>0</v>
      </c>
      <c r="M26" t="inlineStr">
        <is>
          <t>INCORRECT</t>
        </is>
      </c>
      <c r="N26" t="inlineStr">
        <is>
          <t>L14</t>
        </is>
      </c>
      <c r="O26" t="inlineStr">
        <is>
          <t>max(a) == (4*pi)**2*A</t>
        </is>
      </c>
      <c r="P26" t="n">
        <v>0</v>
      </c>
      <c r="Q26" t="inlineStr">
        <is>
          <t>INCORRECT</t>
        </is>
      </c>
      <c r="R26" t="inlineStr">
        <is>
          <t>L25</t>
        </is>
      </c>
      <c r="S26" t="inlineStr">
        <is>
          <t>ωt == π</t>
        </is>
      </c>
      <c r="T26" t="n">
        <v>1</v>
      </c>
      <c r="U26" t="inlineStr">
        <is>
          <t>INCORRECT</t>
        </is>
      </c>
      <c r="V26" t="inlineStr">
        <is>
          <t>L25</t>
        </is>
      </c>
      <c r="W26" t="inlineStr">
        <is>
          <t>ωt == π</t>
        </is>
      </c>
      <c r="X26" t="inlineStr">
        <is>
          <t>IntraStep_Calc_Error (pi/3 != pi, Numeric_Mismatch(diff=2.0944,tol=1.00e-06))</t>
        </is>
      </c>
      <c r="Y26" t="inlineStr">
        <is>
          <t>pi/3</t>
        </is>
      </c>
      <c r="Z26" t="n">
        <v>1</v>
      </c>
    </row>
    <row r="27">
      <c r="A27" t="inlineStr">
        <is>
          <t>sub_26</t>
        </is>
      </c>
      <c r="B27" t="inlineStr">
        <is>
          <t>q_37</t>
        </is>
      </c>
      <c r="C27" t="inlineStr">
        <is>
          <t>Calibration_11Q</t>
        </is>
      </c>
      <c r="D27" t="inlineStr">
        <is>
          <t>qwen3b</t>
        </is>
      </c>
      <c r="E27" t="inlineStr">
        <is>
          <t>SAI</t>
        </is>
      </c>
      <c r="F27" t="inlineStr">
        <is>
          <t>0.06*sqrt(2)</t>
        </is>
      </c>
      <c r="G27" t="inlineStr">
        <is>
          <t>INCORRECT</t>
        </is>
      </c>
      <c r="H27" t="inlineStr">
        <is>
          <t>Học sinh viết \(A = \frac{0.6 \times \sqrt{2}}{10}\) nhưng Lời giải mẫu là \(A = \frac{0.6 \times \sqrt{2}}{10.0}\).</t>
        </is>
      </c>
      <c r="I27" t="n">
        <v>0</v>
      </c>
      <c r="J27" t="inlineStr">
        <is>
          <t>INCORRECT</t>
        </is>
      </c>
      <c r="K27" t="inlineStr">
        <is>
          <t>L04</t>
        </is>
      </c>
      <c r="L27" t="n">
        <v>1</v>
      </c>
      <c r="M27" t="inlineStr">
        <is>
          <t>CORRECT</t>
        </is>
      </c>
      <c r="P27" t="n">
        <v>0</v>
      </c>
      <c r="Q27" t="inlineStr">
        <is>
          <t>INCORRECT</t>
        </is>
      </c>
      <c r="R27" t="inlineStr">
        <is>
          <t>L04</t>
        </is>
      </c>
      <c r="S27" t="inlineStr">
        <is>
          <t>(0,6 * sqrt(2)) / 10 == 0,077 (m).</t>
        </is>
      </c>
      <c r="T27" t="n">
        <v>1</v>
      </c>
      <c r="U27" t="inlineStr">
        <is>
          <t>INCORRECT</t>
        </is>
      </c>
      <c r="V27" t="inlineStr">
        <is>
          <t>L04</t>
        </is>
      </c>
      <c r="W27" t="inlineStr">
        <is>
          <t>(0,6 * sqrt(2)) / 10 == 0,077 (m).</t>
        </is>
      </c>
      <c r="X27" t="inlineStr">
        <is>
          <t>IntraStep_Calc_Error (0.06*sqrt(2) != 0.0770000000000000, Numeric_Mismatch(diff=0.0078528,tol=5.50e-04))</t>
        </is>
      </c>
      <c r="Y27" t="inlineStr">
        <is>
          <t>0.06*sqrt(2)</t>
        </is>
      </c>
      <c r="Z27" t="n">
        <v>1</v>
      </c>
    </row>
    <row r="28">
      <c r="A28" t="inlineStr">
        <is>
          <t>sub_27</t>
        </is>
      </c>
      <c r="B28" t="inlineStr">
        <is>
          <t>q_38</t>
        </is>
      </c>
      <c r="C28" t="inlineStr">
        <is>
          <t>HeldOut_Unseen_11Q</t>
        </is>
      </c>
      <c r="D28" t="inlineStr">
        <is>
          <t>qwen1_5b</t>
        </is>
      </c>
      <c r="E28" t="inlineStr">
        <is>
          <t>SAI</t>
        </is>
      </c>
      <c r="F28" t="inlineStr">
        <is>
          <t>1</t>
        </is>
      </c>
      <c r="G28" t="inlineStr">
        <is>
          <t>INCORRECT</t>
        </is>
      </c>
      <c r="H28" t="inlineStr">
        <is>
          <t>Học sinh viết \( \omega^2 = 20 \) nhưng Lời giải mẫu là \( \omega^2 = 40 \).</t>
        </is>
      </c>
      <c r="I28" t="n">
        <v>0</v>
      </c>
      <c r="J28" t="inlineStr">
        <is>
          <t>CORRECT</t>
        </is>
      </c>
      <c r="L28" t="n">
        <v>0</v>
      </c>
      <c r="M28" t="inlineStr">
        <is>
          <t>INCORRECT</t>
        </is>
      </c>
      <c r="N28" t="inlineStr">
        <is>
          <t>L06</t>
        </is>
      </c>
      <c r="O28" t="inlineStr">
        <is>
          <t>100 == omega**2 * 5</t>
        </is>
      </c>
      <c r="P28" t="n">
        <v>0</v>
      </c>
      <c r="Q28" t="inlineStr">
        <is>
          <t>INCORRECT</t>
        </is>
      </c>
      <c r="R28" t="inlineStr">
        <is>
          <t>L03</t>
        </is>
      </c>
      <c r="S28" t="inlineStr">
        <is>
          <t>A/2 == 5 cm.</t>
        </is>
      </c>
      <c r="T28" t="n">
        <v>1</v>
      </c>
      <c r="U28" t="inlineStr">
        <is>
          <t>INCORRECT</t>
        </is>
      </c>
      <c r="V28" t="inlineStr">
        <is>
          <t>L03</t>
        </is>
      </c>
      <c r="W28" t="inlineStr">
        <is>
          <t>A/2 == 5 cm.</t>
        </is>
      </c>
      <c r="X28" t="inlineStr">
        <is>
          <t>IntraStep_Calc_Error (5/2 != 5, Numeric_Mismatch(diff=2.5,tol=5.50e-01))</t>
        </is>
      </c>
      <c r="Y28" t="inlineStr">
        <is>
          <t>5/2</t>
        </is>
      </c>
      <c r="Z28" t="n">
        <v>1</v>
      </c>
    </row>
    <row r="29">
      <c r="A29" t="inlineStr">
        <is>
          <t>sub_28</t>
        </is>
      </c>
      <c r="B29" t="inlineStr">
        <is>
          <t>q_39</t>
        </is>
      </c>
      <c r="C29" t="inlineStr">
        <is>
          <t>Calibration_11Q</t>
        </is>
      </c>
      <c r="D29" t="inlineStr">
        <is>
          <t>qwen1_5b</t>
        </is>
      </c>
      <c r="E29" t="inlineStr">
        <is>
          <t>SAI</t>
        </is>
      </c>
      <c r="F29" t="inlineStr">
        <is>
          <t>5*cos(pi*t - pi/3)</t>
        </is>
      </c>
      <c r="G29" t="inlineStr">
        <is>
          <t>INCORRECT</t>
        </is>
      </c>
      <c r="H29" t="inlineStr">
        <is>
          <t>Học sinh viết \( \omega = 3\sqrt{10} \) rad/s nhưng Lời giải mẫu là \( \omega = \pi \) rad/s.</t>
        </is>
      </c>
      <c r="I29" t="n">
        <v>1</v>
      </c>
      <c r="J29" t="inlineStr">
        <is>
          <t>INCORRECT</t>
        </is>
      </c>
      <c r="K29" t="inlineStr">
        <is>
          <t>L14</t>
        </is>
      </c>
      <c r="L29" t="n">
        <v>1</v>
      </c>
      <c r="M29" t="inlineStr">
        <is>
          <t>INCORRECT</t>
        </is>
      </c>
      <c r="N29" t="inlineStr">
        <is>
          <t>L16</t>
        </is>
      </c>
      <c r="O29" t="inlineStr">
        <is>
          <t>omega == 3*sqrt(10)</t>
        </is>
      </c>
      <c r="P29" t="n">
        <v>1</v>
      </c>
      <c r="Q29" t="inlineStr">
        <is>
          <t>INCORRECT</t>
        </is>
      </c>
      <c r="R29" t="inlineStr">
        <is>
          <t>L04</t>
        </is>
      </c>
      <c r="S29" t="inlineStr">
        <is>
          <t>\omega^2 == 250 / 25</t>
        </is>
      </c>
      <c r="T29" t="n">
        <v>0</v>
      </c>
      <c r="U29" t="inlineStr">
        <is>
          <t>INCORRECT</t>
        </is>
      </c>
      <c r="V29" t="inlineStr">
        <is>
          <t>L14</t>
        </is>
      </c>
      <c r="W29" t="inlineStr">
        <is>
          <t>\omega \cdot \frac{2}{3} + \phi == \pi/3</t>
        </is>
      </c>
      <c r="X29" t="inlineStr">
        <is>
          <t>IntraStep_Calc_Error (pi != pi/3, Numeric_Mismatch(diff=2.0944,tol=1.00e-06))</t>
        </is>
      </c>
      <c r="Y29" t="inlineStr">
        <is>
          <t>pi</t>
        </is>
      </c>
      <c r="Z29" t="n">
        <v>1</v>
      </c>
    </row>
    <row r="30">
      <c r="A30" t="inlineStr">
        <is>
          <t>sub_29</t>
        </is>
      </c>
      <c r="B30" t="inlineStr">
        <is>
          <t>q_40</t>
        </is>
      </c>
      <c r="C30" t="inlineStr">
        <is>
          <t>HeldOut_Unseen_11Q</t>
        </is>
      </c>
      <c r="D30" t="inlineStr">
        <is>
          <t>qwen1_5b</t>
        </is>
      </c>
      <c r="E30" t="inlineStr">
        <is>
          <t>SAI</t>
        </is>
      </c>
      <c r="F30" t="inlineStr">
        <is>
          <t>1/6</t>
        </is>
      </c>
      <c r="G30" t="inlineStr">
        <is>
          <t>INCORRECT</t>
        </is>
      </c>
      <c r="H30" t="inlineStr">
        <is>
          <t>Học sinh viết \( v = 20\pi \cos(10\pi t + \frac{5\pi}{6}) \) nhưng Lời giải mẫu là \( v = 20\pi \cos(10\pi t + \frac{\pi}{6}) \).</t>
        </is>
      </c>
      <c r="I30" t="n">
        <v>0</v>
      </c>
      <c r="J30" t="inlineStr">
        <is>
          <t>CORRECT</t>
        </is>
      </c>
      <c r="L30" t="n">
        <v>0</v>
      </c>
      <c r="M30" t="inlineStr">
        <is>
          <t>INCORRECT</t>
        </is>
      </c>
      <c r="N30" t="inlineStr">
        <is>
          <t>L03</t>
        </is>
      </c>
      <c r="O30" t="inlineStr">
        <is>
          <t>v == 20*pi*cos(10*pi*t + pi/6)</t>
        </is>
      </c>
      <c r="P30" t="n">
        <v>0</v>
      </c>
      <c r="Q30" t="inlineStr">
        <is>
          <t>INCORRECT</t>
        </is>
      </c>
      <c r="R30" t="inlineStr">
        <is>
          <t>L02</t>
        </is>
      </c>
      <c r="S30" t="inlineStr">
        <is>
          <t>-\omega A \sin(\omega t + \phi) == -\omega A \cos(\omega t + \phi + \frac{\pi}{2})</t>
        </is>
      </c>
      <c r="T30" t="n">
        <v>1</v>
      </c>
      <c r="U30" t="inlineStr">
        <is>
          <t>INCORRECT</t>
        </is>
      </c>
      <c r="V30" t="inlineStr">
        <is>
          <t>L02</t>
        </is>
      </c>
      <c r="W30" t="inlineStr">
        <is>
          <t>-\omega A \sin(\omega t + \phi) == -\omega A \cos(\omega t + \phi + \frac{\pi}{2})</t>
        </is>
      </c>
      <c r="X30" t="inlineStr">
        <is>
          <t>Wave_Transform_Error (Symbolic_Mismatch)</t>
        </is>
      </c>
      <c r="Y30" t="inlineStr">
        <is>
          <t>-A*omega*sin(omega*t + phi)</t>
        </is>
      </c>
      <c r="Z30" t="n">
        <v>1</v>
      </c>
    </row>
    <row r="31">
      <c r="A31" t="inlineStr">
        <is>
          <t>sub_30</t>
        </is>
      </c>
      <c r="B31" t="inlineStr">
        <is>
          <t>q_40</t>
        </is>
      </c>
      <c r="C31" t="inlineStr">
        <is>
          <t>HeldOut_Unseen_11Q</t>
        </is>
      </c>
      <c r="D31" t="inlineStr">
        <is>
          <t>qwen3b</t>
        </is>
      </c>
      <c r="E31" t="inlineStr">
        <is>
          <t>SAI</t>
        </is>
      </c>
      <c r="F31" t="inlineStr">
        <is>
          <t>1/6</t>
        </is>
      </c>
      <c r="G31" t="inlineStr">
        <is>
          <t>INCORRECT</t>
        </is>
      </c>
      <c r="H31" t="inlineStr">
        <is>
          <t>Học sinh viết \( t = -\frac{\pi}{30} + \frac{1}{2} \) nhưng Lời giải mẫu là \( t = \frac{-1 + 6k}{30} \) với \( k = 1 \).</t>
        </is>
      </c>
      <c r="I31" t="n">
        <v>1</v>
      </c>
      <c r="J31" t="inlineStr">
        <is>
          <t>INCORRECT</t>
        </is>
      </c>
      <c r="K31" t="inlineStr">
        <is>
          <t>L08</t>
        </is>
      </c>
      <c r="L31" t="n">
        <v>1</v>
      </c>
      <c r="M31" t="inlineStr">
        <is>
          <t>INCORRECT</t>
        </is>
      </c>
      <c r="N31" t="inlineStr">
        <is>
          <t>L08</t>
        </is>
      </c>
      <c r="O31" t="inlineStr">
        <is>
          <t>t == -pi/30 + k/2</t>
        </is>
      </c>
      <c r="P31" t="n">
        <v>1</v>
      </c>
      <c r="Q31" t="inlineStr">
        <is>
          <t>INCORRECT</t>
        </is>
      </c>
      <c r="R31" t="inlineStr">
        <is>
          <t>L08</t>
        </is>
      </c>
      <c r="S31" t="inlineStr">
        <is>
          <t>t == -π/30 + k/2.</t>
        </is>
      </c>
      <c r="T31" t="n">
        <v>1</v>
      </c>
      <c r="U31" t="inlineStr">
        <is>
          <t>INCORRECT</t>
        </is>
      </c>
      <c r="V31" t="inlineStr">
        <is>
          <t>L08</t>
        </is>
      </c>
      <c r="W31" t="inlineStr">
        <is>
          <t>t == -π/30 + k/2.</t>
        </is>
      </c>
      <c r="X31" t="inlineStr">
        <is>
          <t>Parametric_Solution_Error (k/2 - pi/30 != (2*pi*k - pi/3)/(10*pi))</t>
        </is>
      </c>
      <c r="Y31" t="inlineStr">
        <is>
          <t>k/5 - 1/30</t>
        </is>
      </c>
      <c r="Z31" t="n">
        <v>1</v>
      </c>
    </row>
    <row r="32">
      <c r="A32" t="inlineStr">
        <is>
          <t>sub_31</t>
        </is>
      </c>
      <c r="B32" t="inlineStr">
        <is>
          <t>q_40</t>
        </is>
      </c>
      <c r="C32" t="inlineStr">
        <is>
          <t>HeldOut_Unseen_11Q</t>
        </is>
      </c>
      <c r="D32" t="inlineStr">
        <is>
          <t>qwen7b</t>
        </is>
      </c>
      <c r="E32" t="inlineStr">
        <is>
          <t>SAI</t>
        </is>
      </c>
      <c r="F32" t="inlineStr">
        <is>
          <t>1/6</t>
        </is>
      </c>
      <c r="G32" t="inlineStr">
        <is>
          <t>INCORRECT</t>
        </is>
      </c>
      <c r="H32" t="inlineStr">
        <is>
          <t>Học sinh viết \(10\pi t = -\frac{\pi}{6} + \frac{\pi}{6} + 2k\pi\) nhưng Lời giải mẫu là \(10\pi t = -\frac{\pi}{3} + 2k\pi\).</t>
        </is>
      </c>
      <c r="I32" t="n">
        <v>0</v>
      </c>
      <c r="J32" t="inlineStr">
        <is>
          <t>INCORRECT</t>
        </is>
      </c>
      <c r="K32" t="inlineStr">
        <is>
          <t>L03</t>
        </is>
      </c>
      <c r="L32" t="n">
        <v>1</v>
      </c>
      <c r="M32" t="inlineStr">
        <is>
          <t>INCORRECT</t>
        </is>
      </c>
      <c r="N32" t="inlineStr">
        <is>
          <t>L03</t>
        </is>
      </c>
      <c r="O32" t="inlineStr">
        <is>
          <t>v == 40*pi*cos(10*pi*t - pi/6)</t>
        </is>
      </c>
      <c r="P32" t="n">
        <v>1</v>
      </c>
      <c r="Q32" t="inlineStr">
        <is>
          <t>INCORRECT</t>
        </is>
      </c>
      <c r="R32" t="inlineStr">
        <is>
          <t>L03</t>
        </is>
      </c>
      <c r="S32" t="inlineStr">
        <is>
          <t>40π.cos(10πt - π/3 + π/2) == 40π.cos(10πt - π/6).</t>
        </is>
      </c>
      <c r="T32" t="n">
        <v>1</v>
      </c>
      <c r="U32" t="inlineStr">
        <is>
          <t>INCORRECT</t>
        </is>
      </c>
      <c r="V32" t="inlineStr">
        <is>
          <t>L03</t>
        </is>
      </c>
      <c r="W32" t="inlineStr">
        <is>
          <t>40π.cos(10πt - π/3 + π/2) == 40π.cos(10πt - π/6).</t>
        </is>
      </c>
      <c r="X32" t="inlineStr">
        <is>
          <t>Wave_Transform_Error (Symbolic_Mismatch)</t>
        </is>
      </c>
      <c r="Y32" t="inlineStr">
        <is>
          <t>40*pi*cos(pi*(10*t + 1/6))</t>
        </is>
      </c>
      <c r="Z32" t="n">
        <v>1</v>
      </c>
    </row>
    <row r="33">
      <c r="A33" t="inlineStr">
        <is>
          <t>cor_01</t>
        </is>
      </c>
      <c r="B33" t="inlineStr">
        <is>
          <t>q_04</t>
        </is>
      </c>
      <c r="C33" t="inlineStr">
        <is>
          <t>Calibration_11Q</t>
        </is>
      </c>
      <c r="D33" t="inlineStr">
        <is>
          <t>qwen7b</t>
        </is>
      </c>
      <c r="E33" t="inlineStr">
        <is>
          <t>ĐÚNG</t>
        </is>
      </c>
      <c r="F33" t="inlineStr">
        <is>
          <t>0.25</t>
        </is>
      </c>
      <c r="G33" t="inlineStr">
        <is>
          <t>INCORRECT</t>
        </is>
      </c>
      <c r="H33" t="inlineStr">
        <is>
          <t>Học sinh viết $\Delta t = \frac{2\pi}{\omega \cdot 2}$ nhưng Lời giải mẫu là $\Delta t = \frac{\pi}{\omega}$.</t>
        </is>
      </c>
      <c r="J33" t="inlineStr">
        <is>
          <t>CORRECT</t>
        </is>
      </c>
      <c r="M33" t="inlineStr">
        <is>
          <t>CORRECT</t>
        </is>
      </c>
      <c r="Q33" t="inlineStr">
        <is>
          <t>CORRECT</t>
        </is>
      </c>
      <c r="U33" t="inlineStr">
        <is>
          <t>CORRECT</t>
        </is>
      </c>
      <c r="X33" t="inlineStr">
        <is>
          <t>All_Steps_Verified_OK</t>
        </is>
      </c>
    </row>
    <row r="34">
      <c r="A34" t="inlineStr">
        <is>
          <t>cor_02</t>
        </is>
      </c>
      <c r="B34" t="inlineStr">
        <is>
          <t>q_08</t>
        </is>
      </c>
      <c r="C34" t="inlineStr">
        <is>
          <t>HeldOut_Unseen_11Q</t>
        </is>
      </c>
      <c r="D34" t="inlineStr">
        <is>
          <t>qwen7b</t>
        </is>
      </c>
      <c r="E34" t="inlineStr">
        <is>
          <t>ĐÚNG</t>
        </is>
      </c>
      <c r="F34" t="inlineStr">
        <is>
          <t>4</t>
        </is>
      </c>
      <c r="G34" t="inlineStr">
        <is>
          <t>CORRECT</t>
        </is>
      </c>
      <c r="H34" t="inlineStr">
        <is>
          <t>Không có bước sai.</t>
        </is>
      </c>
      <c r="J34" t="inlineStr">
        <is>
          <t>CORRECT</t>
        </is>
      </c>
      <c r="M34" t="inlineStr">
        <is>
          <t>INCORRECT</t>
        </is>
      </c>
      <c r="N34" t="inlineStr">
        <is>
          <t>L02</t>
        </is>
      </c>
      <c r="O34" t="inlineStr">
        <is>
          <t>omega == 16*pi**2/8*pi</t>
        </is>
      </c>
      <c r="Q34" t="inlineStr">
        <is>
          <t>CORRECT</t>
        </is>
      </c>
      <c r="U34" t="inlineStr">
        <is>
          <t>CORRECT</t>
        </is>
      </c>
      <c r="X34" t="inlineStr">
        <is>
          <t>All_Steps_Verified_OK</t>
        </is>
      </c>
    </row>
    <row r="35">
      <c r="A35" t="inlineStr">
        <is>
          <t>cor_03</t>
        </is>
      </c>
      <c r="B35" t="inlineStr">
        <is>
          <t>q_10</t>
        </is>
      </c>
      <c r="C35" t="inlineStr">
        <is>
          <t>Calibration_11Q</t>
        </is>
      </c>
      <c r="D35" t="inlineStr">
        <is>
          <t>qwen7b</t>
        </is>
      </c>
      <c r="E35" t="inlineStr">
        <is>
          <t>ĐÚNG</t>
        </is>
      </c>
      <c r="F35" t="inlineStr">
        <is>
          <t>10</t>
        </is>
      </c>
      <c r="G35" t="inlineStr">
        <is>
          <t>INCORRECT</t>
        </is>
      </c>
      <c r="H35" t="inlineStr">
        <is>
          <t>Học sinh viết \( x_1 = 3\cos(10t - \frac{5\pi}{6}) \) cm nhưng Lời giải mẫu là \( x_1 = 3\sin(10t - \frac{\pi}{3}) \) cm.</t>
        </is>
      </c>
      <c r="J35" t="inlineStr">
        <is>
          <t>INCORRECT</t>
        </is>
      </c>
      <c r="K35" t="inlineStr">
        <is>
          <t>L03</t>
        </is>
      </c>
      <c r="M35" t="inlineStr">
        <is>
          <t>CORRECT</t>
        </is>
      </c>
      <c r="Q35" t="inlineStr">
        <is>
          <t>CORRECT</t>
        </is>
      </c>
      <c r="U35" t="inlineStr">
        <is>
          <t>CORRECT</t>
        </is>
      </c>
      <c r="X35" t="inlineStr">
        <is>
          <t>All_Steps_Verified_OK</t>
        </is>
      </c>
    </row>
    <row r="36">
      <c r="A36" t="inlineStr">
        <is>
          <t>cor_04</t>
        </is>
      </c>
      <c r="B36" t="inlineStr">
        <is>
          <t>q_17</t>
        </is>
      </c>
      <c r="C36" t="inlineStr">
        <is>
          <t>HeldOut_Unseen_11Q</t>
        </is>
      </c>
      <c r="D36" t="inlineStr">
        <is>
          <t>qwen7b</t>
        </is>
      </c>
      <c r="E36" t="inlineStr">
        <is>
          <t>ĐÚNG</t>
        </is>
      </c>
      <c r="F36" t="inlineStr">
        <is>
          <t>200*pi</t>
        </is>
      </c>
      <c r="G36" t="inlineStr">
        <is>
          <t>CORRECT</t>
        </is>
      </c>
      <c r="H36" t="inlineStr">
        <is>
          <t>Không có bước sai.</t>
        </is>
      </c>
      <c r="J36" t="inlineStr">
        <is>
          <t>INCORRECT</t>
        </is>
      </c>
      <c r="K36" t="inlineStr">
        <is>
          <t>L09</t>
        </is>
      </c>
      <c r="M36" t="inlineStr">
        <is>
          <t>CORRECT</t>
        </is>
      </c>
      <c r="Q36" t="inlineStr">
        <is>
          <t>CORRECT</t>
        </is>
      </c>
      <c r="U36" t="inlineStr">
        <is>
          <t>CORRECT</t>
        </is>
      </c>
      <c r="X36" t="inlineStr">
        <is>
          <t>All_Steps_Verified_OK</t>
        </is>
      </c>
    </row>
    <row r="37">
      <c r="A37" t="inlineStr">
        <is>
          <t>cor_05</t>
        </is>
      </c>
      <c r="B37" t="inlineStr">
        <is>
          <t>q_19</t>
        </is>
      </c>
      <c r="C37" t="inlineStr">
        <is>
          <t>Calibration_11Q</t>
        </is>
      </c>
      <c r="D37" t="inlineStr">
        <is>
          <t>qwen7b</t>
        </is>
      </c>
      <c r="E37" t="inlineStr">
        <is>
          <t>ĐÚNG</t>
        </is>
      </c>
      <c r="F37" t="inlineStr">
        <is>
          <t>0.245</t>
        </is>
      </c>
      <c r="G37" t="inlineStr">
        <is>
          <t>CORRECT</t>
        </is>
      </c>
      <c r="H37" t="inlineStr">
        <is>
          <t>Không có bước sai.</t>
        </is>
      </c>
      <c r="J37" t="inlineStr">
        <is>
          <t>INCORRECT</t>
        </is>
      </c>
      <c r="K37" t="inlineStr">
        <is>
          <t>L04</t>
        </is>
      </c>
      <c r="M37" t="inlineStr">
        <is>
          <t>CORRECT</t>
        </is>
      </c>
      <c r="Q37" t="inlineStr">
        <is>
          <t>INCORRECT</t>
        </is>
      </c>
      <c r="R37" t="inlineStr">
        <is>
          <t>L05</t>
        </is>
      </c>
      <c r="S37" t="inlineStr">
        <is>
          <t>W == 50.(0,0004) + 0,2.(0,0225 * 5 * 10)</t>
        </is>
      </c>
      <c r="U37" t="inlineStr">
        <is>
          <t>CORRECT</t>
        </is>
      </c>
      <c r="X37" t="inlineStr">
        <is>
          <t>All_Steps_Verified_OK</t>
        </is>
      </c>
    </row>
    <row r="38">
      <c r="A38" t="inlineStr">
        <is>
          <t>cor_06</t>
        </is>
      </c>
      <c r="B38" t="inlineStr">
        <is>
          <t>q_19</t>
        </is>
      </c>
      <c r="C38" t="inlineStr">
        <is>
          <t>Calibration_11Q</t>
        </is>
      </c>
      <c r="D38" t="inlineStr">
        <is>
          <t>gpt4o</t>
        </is>
      </c>
      <c r="E38" t="inlineStr">
        <is>
          <t>ĐÚNG</t>
        </is>
      </c>
      <c r="F38" t="inlineStr">
        <is>
          <t>0.245</t>
        </is>
      </c>
      <c r="G38" t="inlineStr">
        <is>
          <t>CORRECT</t>
        </is>
      </c>
      <c r="H38" t="inlineStr">
        <is>
          <t>Không có bước sai.</t>
        </is>
      </c>
      <c r="J38" t="inlineStr">
        <is>
          <t>CORRECT</t>
        </is>
      </c>
      <c r="M38" t="inlineStr">
        <is>
          <t>CORRECT</t>
        </is>
      </c>
      <c r="Q38" t="inlineStr">
        <is>
          <t>INCORRECT</t>
        </is>
      </c>
      <c r="R38" t="inlineStr">
        <is>
          <t>L18</t>
        </is>
      </c>
      <c r="S38" t="inlineStr">
        <is>
          <t>0,0225 \times 5 \times \pi^2 == 0,1125 \times 10</t>
        </is>
      </c>
      <c r="U38" t="inlineStr">
        <is>
          <t>CORRECT</t>
        </is>
      </c>
      <c r="X38" t="inlineStr">
        <is>
          <t>All_Steps_Verified_OK</t>
        </is>
      </c>
    </row>
    <row r="39">
      <c r="A39" t="inlineStr">
        <is>
          <t>cor_07</t>
        </is>
      </c>
      <c r="B39" t="inlineStr">
        <is>
          <t>q_20</t>
        </is>
      </c>
      <c r="C39" t="inlineStr">
        <is>
          <t>HeldOut_Unseen_11Q</t>
        </is>
      </c>
      <c r="D39" t="inlineStr">
        <is>
          <t>qwen7b</t>
        </is>
      </c>
      <c r="E39" t="inlineStr">
        <is>
          <t>ĐÚNG</t>
        </is>
      </c>
      <c r="F39" t="inlineStr">
        <is>
          <t>0.00036</t>
        </is>
      </c>
      <c r="G39" t="inlineStr">
        <is>
          <t>CORRECT</t>
        </is>
      </c>
      <c r="H39" t="inlineStr">
        <is>
          <t>Không có bước sai.</t>
        </is>
      </c>
      <c r="J39" t="inlineStr">
        <is>
          <t>INCORRECT</t>
        </is>
      </c>
      <c r="K39" t="inlineStr">
        <is>
          <t>L02</t>
        </is>
      </c>
      <c r="M39" t="inlineStr">
        <is>
          <t>CORRECT</t>
        </is>
      </c>
      <c r="Q39" t="inlineStr">
        <is>
          <t>CORRECT</t>
        </is>
      </c>
      <c r="U39" t="inlineStr">
        <is>
          <t>CORRECT</t>
        </is>
      </c>
      <c r="X39" t="inlineStr">
        <is>
          <t>All_Steps_Verified_OK</t>
        </is>
      </c>
    </row>
    <row r="40">
      <c r="A40" t="inlineStr">
        <is>
          <t>cor_08</t>
        </is>
      </c>
      <c r="B40" t="inlineStr">
        <is>
          <t>q_22</t>
        </is>
      </c>
      <c r="C40" t="inlineStr">
        <is>
          <t>Calibration_11Q</t>
        </is>
      </c>
      <c r="D40" t="inlineStr">
        <is>
          <t>qwen7b</t>
        </is>
      </c>
      <c r="E40" t="inlineStr">
        <is>
          <t>ĐÚNG</t>
        </is>
      </c>
      <c r="F40" t="inlineStr">
        <is>
          <t>0.075</t>
        </is>
      </c>
      <c r="G40" t="inlineStr">
        <is>
          <t>CORRECT</t>
        </is>
      </c>
      <c r="H40" t="inlineStr">
        <is>
          <t>Không có bước sai.</t>
        </is>
      </c>
      <c r="J40" t="inlineStr">
        <is>
          <t>CORRECT</t>
        </is>
      </c>
      <c r="M40" t="inlineStr">
        <is>
          <t>CORRECT</t>
        </is>
      </c>
      <c r="Q40" t="inlineStr">
        <is>
          <t>CORRECT</t>
        </is>
      </c>
      <c r="U40" t="inlineStr">
        <is>
          <t>CORRECT</t>
        </is>
      </c>
      <c r="X40" t="inlineStr">
        <is>
          <t>All_Steps_Verified_OK</t>
        </is>
      </c>
    </row>
    <row r="41">
      <c r="A41" t="inlineStr">
        <is>
          <t>cor_09</t>
        </is>
      </c>
      <c r="B41" t="inlineStr">
        <is>
          <t>q_25</t>
        </is>
      </c>
      <c r="C41" t="inlineStr">
        <is>
          <t>HeldOut_Unseen_11Q</t>
        </is>
      </c>
      <c r="D41" t="inlineStr">
        <is>
          <t>qwen7b</t>
        </is>
      </c>
      <c r="E41" t="inlineStr">
        <is>
          <t>ĐÚNG</t>
        </is>
      </c>
      <c r="F41" t="inlineStr">
        <is>
          <t>4.08</t>
        </is>
      </c>
      <c r="G41" t="inlineStr">
        <is>
          <t>CORRECT</t>
        </is>
      </c>
      <c r="H41" t="inlineStr">
        <is>
          <t>Không có bước sai.</t>
        </is>
      </c>
      <c r="J41" t="inlineStr">
        <is>
          <t>CORRECT</t>
        </is>
      </c>
      <c r="M41" t="inlineStr">
        <is>
          <t>CORRECT</t>
        </is>
      </c>
      <c r="Q41" t="inlineStr">
        <is>
          <t>INCORRECT</t>
        </is>
      </c>
      <c r="R41" t="inlineStr">
        <is>
          <t>L02</t>
        </is>
      </c>
      <c r="S41" t="inlineStr">
        <is>
          <t>sqrt(0,92) == 0,9592.</t>
        </is>
      </c>
      <c r="U41" t="inlineStr">
        <is>
          <t>CORRECT</t>
        </is>
      </c>
      <c r="X41" t="inlineStr">
        <is>
          <t>All_Steps_Verified_OK</t>
        </is>
      </c>
    </row>
    <row r="42">
      <c r="A42" t="inlineStr">
        <is>
          <t>cor_10</t>
        </is>
      </c>
      <c r="B42" t="inlineStr">
        <is>
          <t>q_25</t>
        </is>
      </c>
      <c r="C42" t="inlineStr">
        <is>
          <t>HeldOut_Unseen_11Q</t>
        </is>
      </c>
      <c r="D42" t="inlineStr">
        <is>
          <t>gpt4o</t>
        </is>
      </c>
      <c r="E42" t="inlineStr">
        <is>
          <t>ĐÚNG</t>
        </is>
      </c>
      <c r="F42" t="inlineStr">
        <is>
          <t>4.08</t>
        </is>
      </c>
      <c r="G42" t="inlineStr">
        <is>
          <t>INCORRECT</t>
        </is>
      </c>
      <c r="H42" t="inlineStr">
        <is>
          <t>Học sinh viết \( 100\% - 95.9\% = 4.1\% \) nhưng Lời giải mẫu là \( \left(1 - 0.9592\right) \times 100\% = 4.08\% \).</t>
        </is>
      </c>
      <c r="J42" t="inlineStr">
        <is>
          <t>INCORRECT</t>
        </is>
      </c>
      <c r="K42" t="inlineStr">
        <is>
          <t>L13</t>
        </is>
      </c>
      <c r="M42" t="inlineStr">
        <is>
          <t>CORRECT</t>
        </is>
      </c>
      <c r="Q42" t="inlineStr">
        <is>
          <t>INCORRECT</t>
        </is>
      </c>
      <c r="R42" t="inlineStr">
        <is>
          <t>L11</t>
        </is>
      </c>
      <c r="S42" t="inlineStr">
        <is>
          <t>\sqrt{0.92} == 0.959</t>
        </is>
      </c>
      <c r="U42" t="inlineStr">
        <is>
          <t>CORRECT</t>
        </is>
      </c>
      <c r="X42" t="inlineStr">
        <is>
          <t>All_Steps_Verified_OK</t>
        </is>
      </c>
    </row>
    <row r="43">
      <c r="A43" t="inlineStr">
        <is>
          <t>cor_11</t>
        </is>
      </c>
      <c r="B43" t="inlineStr">
        <is>
          <t>q_26</t>
        </is>
      </c>
      <c r="C43" t="inlineStr">
        <is>
          <t>Calibration_11Q</t>
        </is>
      </c>
      <c r="D43" t="inlineStr">
        <is>
          <t>qwen7b</t>
        </is>
      </c>
      <c r="E43" t="inlineStr">
        <is>
          <t>ĐÚNG</t>
        </is>
      </c>
      <c r="F43" t="inlineStr">
        <is>
          <t>27</t>
        </is>
      </c>
      <c r="G43" t="inlineStr">
        <is>
          <t>INCORRECT</t>
        </is>
      </c>
      <c r="H43" t="inlineStr">
        <is>
          <t>Học sinh viết \( \Delta t = t_1 + T = \frac{T}{6} + T = \frac{7T}{6} \) nhưng Lời giải mẫu là \( \Delta t = t_1 + T = \frac{T}{6} + T = 1.167 \text{ s} \).</t>
        </is>
      </c>
      <c r="J43" t="inlineStr">
        <is>
          <t>INCORRECT</t>
        </is>
      </c>
      <c r="K43" t="inlineStr">
        <is>
          <t>L08</t>
        </is>
      </c>
      <c r="M43" t="inlineStr">
        <is>
          <t>CORRECT</t>
        </is>
      </c>
      <c r="Q43" t="inlineStr">
        <is>
          <t>INCORRECT</t>
        </is>
      </c>
      <c r="R43" t="inlineStr">
        <is>
          <t>L08</t>
        </is>
      </c>
      <c r="S43" t="inlineStr">
        <is>
          <t>(7 . 1) / 6 == 1,1667 (s).</t>
        </is>
      </c>
      <c r="U43" t="inlineStr">
        <is>
          <t>CORRECT</t>
        </is>
      </c>
      <c r="X43" t="inlineStr">
        <is>
          <t>All_Steps_Verified_OK</t>
        </is>
      </c>
    </row>
    <row r="44">
      <c r="A44" t="inlineStr">
        <is>
          <t>cor_12</t>
        </is>
      </c>
      <c r="B44" t="inlineStr">
        <is>
          <t>q_26</t>
        </is>
      </c>
      <c r="C44" t="inlineStr">
        <is>
          <t>Calibration_11Q</t>
        </is>
      </c>
      <c r="D44" t="inlineStr">
        <is>
          <t>gemini2_5flash</t>
        </is>
      </c>
      <c r="E44" t="inlineStr">
        <is>
          <t>ĐÚNG</t>
        </is>
      </c>
      <c r="F44" t="inlineStr">
        <is>
          <t>27</t>
        </is>
      </c>
      <c r="G44" t="inlineStr">
        <is>
          <t>CORRECT</t>
        </is>
      </c>
      <c r="H44" t="inlineStr">
        <is>
          <t>Không có bước sai.</t>
        </is>
      </c>
      <c r="J44" t="inlineStr">
        <is>
          <t>CORRECT</t>
        </is>
      </c>
      <c r="M44" t="inlineStr">
        <is>
          <t>CORRECT</t>
        </is>
      </c>
      <c r="Q44" t="inlineStr">
        <is>
          <t>CORRECT</t>
        </is>
      </c>
      <c r="U44" t="inlineStr">
        <is>
          <t>CORRECT</t>
        </is>
      </c>
      <c r="X44" t="inlineStr">
        <is>
          <t>All_Steps_Verified_OK</t>
        </is>
      </c>
    </row>
    <row r="45">
      <c r="A45" t="inlineStr">
        <is>
          <t>cor_13</t>
        </is>
      </c>
      <c r="B45" t="inlineStr">
        <is>
          <t>q_28</t>
        </is>
      </c>
      <c r="C45" t="inlineStr">
        <is>
          <t>HeldOut_Unseen_11Q</t>
        </is>
      </c>
      <c r="D45" t="inlineStr">
        <is>
          <t>qwen1_5b</t>
        </is>
      </c>
      <c r="E45" t="inlineStr">
        <is>
          <t>ĐÚNG</t>
        </is>
      </c>
      <c r="F45" t="inlineStr">
        <is>
          <t>0.25</t>
        </is>
      </c>
      <c r="G45" t="inlineStr">
        <is>
          <t>CORRECT</t>
        </is>
      </c>
      <c r="H45" t="inlineStr">
        <is>
          <t>Không có bước sai.</t>
        </is>
      </c>
      <c r="J45" t="inlineStr">
        <is>
          <t>INCORRECT</t>
        </is>
      </c>
      <c r="K45" t="inlineStr">
        <is>
          <t>L01</t>
        </is>
      </c>
      <c r="M45" t="inlineStr">
        <is>
          <t>INCORRECT</t>
        </is>
      </c>
      <c r="N45" t="inlineStr">
        <is>
          <t>L01</t>
        </is>
      </c>
      <c r="O45" t="inlineStr">
        <is>
          <t>omega == 2*pi*200/pi/60</t>
        </is>
      </c>
      <c r="Q45" t="inlineStr">
        <is>
          <t>CORRECT</t>
        </is>
      </c>
      <c r="U45" t="inlineStr">
        <is>
          <t>CORRECT</t>
        </is>
      </c>
      <c r="X45" t="inlineStr">
        <is>
          <t>All_Steps_Verified_OK</t>
        </is>
      </c>
    </row>
    <row r="46">
      <c r="A46" t="inlineStr">
        <is>
          <t>cor_14</t>
        </is>
      </c>
      <c r="B46" t="inlineStr">
        <is>
          <t>q_28</t>
        </is>
      </c>
      <c r="C46" t="inlineStr">
        <is>
          <t>HeldOut_Unseen_11Q</t>
        </is>
      </c>
      <c r="D46" t="inlineStr">
        <is>
          <t>gpt4o</t>
        </is>
      </c>
      <c r="E46" t="inlineStr">
        <is>
          <t>ĐÚNG</t>
        </is>
      </c>
      <c r="F46" t="inlineStr">
        <is>
          <t>0.25</t>
        </is>
      </c>
      <c r="G46" t="inlineStr">
        <is>
          <t>INCORRECT</t>
        </is>
      </c>
      <c r="H46" t="inlineStr">
        <is>
          <t>Học sinh viết \( t = \frac{5\pi}{6} \cdot \frac{3}{10\pi} = \frac{1}{4} \, \text{s} \) nhưng Lời giải mẫu là \( t = 0.25 \, \text{s} \).</t>
        </is>
      </c>
      <c r="J46" t="inlineStr">
        <is>
          <t>INCORRECT</t>
        </is>
      </c>
      <c r="K46" t="inlineStr">
        <is>
          <t>L14</t>
        </is>
      </c>
      <c r="M46" t="inlineStr">
        <is>
          <t>CORRECT</t>
        </is>
      </c>
      <c r="Q46" t="inlineStr">
        <is>
          <t>INCORRECT</t>
        </is>
      </c>
      <c r="R46" t="inlineStr">
        <is>
          <t>L11</t>
        </is>
      </c>
      <c r="S46" t="inlineStr">
        <is>
          <t>\frac{0.6 \times 3}{10\pi} == \frac{1.8}{10\pi}</t>
        </is>
      </c>
      <c r="U46" t="inlineStr">
        <is>
          <t>CORRECT</t>
        </is>
      </c>
      <c r="X46" t="inlineStr">
        <is>
          <t>All_Steps_Verified_OK</t>
        </is>
      </c>
    </row>
    <row r="47">
      <c r="A47" t="inlineStr">
        <is>
          <t>cor_15</t>
        </is>
      </c>
      <c r="B47" t="inlineStr">
        <is>
          <t>q_29</t>
        </is>
      </c>
      <c r="C47" t="inlineStr">
        <is>
          <t>Calibration_11Q</t>
        </is>
      </c>
      <c r="D47" t="inlineStr">
        <is>
          <t>qwen7b</t>
        </is>
      </c>
      <c r="E47" t="inlineStr">
        <is>
          <t>ĐÚNG</t>
        </is>
      </c>
      <c r="F47" t="inlineStr">
        <is>
          <t>7/24</t>
        </is>
      </c>
      <c r="G47" t="inlineStr">
        <is>
          <t>CORRECT</t>
        </is>
      </c>
      <c r="H47" t="inlineStr">
        <is>
          <t>Không có bước sai.</t>
        </is>
      </c>
      <c r="J47" t="inlineStr">
        <is>
          <t>INCORRECT</t>
        </is>
      </c>
      <c r="K47" t="inlineStr">
        <is>
          <t>L01</t>
        </is>
      </c>
      <c r="M47" t="inlineStr">
        <is>
          <t>CORRECT</t>
        </is>
      </c>
      <c r="Q47" t="inlineStr">
        <is>
          <t>INCORRECT</t>
        </is>
      </c>
      <c r="R47" t="inlineStr">
        <is>
          <t>L01</t>
        </is>
      </c>
      <c r="S47" t="inlineStr">
        <is>
          <t>T == 2 s.</t>
        </is>
      </c>
      <c r="U47" t="inlineStr">
        <is>
          <t>INCORRECT</t>
        </is>
      </c>
      <c r="V47" t="inlineStr">
        <is>
          <t>L01</t>
        </is>
      </c>
      <c r="W47" t="inlineStr">
        <is>
          <t>T == 2 s.</t>
        </is>
      </c>
      <c r="X47" t="inlineStr">
        <is>
          <t>Canonical_State_Mismatch (T=2 vs gold=1/2)</t>
        </is>
      </c>
      <c r="Y47" t="inlineStr">
        <is>
          <t>1/2</t>
        </is>
      </c>
    </row>
    <row r="48">
      <c r="A48" t="inlineStr">
        <is>
          <t>cor_16</t>
        </is>
      </c>
      <c r="B48" t="inlineStr">
        <is>
          <t>q_30</t>
        </is>
      </c>
      <c r="C48" t="inlineStr">
        <is>
          <t>HeldOut_Unseen_11Q</t>
        </is>
      </c>
      <c r="D48" t="inlineStr">
        <is>
          <t>qwen7b</t>
        </is>
      </c>
      <c r="E48" t="inlineStr">
        <is>
          <t>ĐÚNG</t>
        </is>
      </c>
      <c r="F48" t="inlineStr">
        <is>
          <t>403.4</t>
        </is>
      </c>
      <c r="G48" t="inlineStr">
        <is>
          <t>INCORRECT</t>
        </is>
      </c>
      <c r="H48" t="inlineStr">
        <is>
          <t>Học sinh viết $T = 0,4$ s nhưng Lời giải mẫu là $T = \frac{2}{5}$ s.</t>
        </is>
      </c>
      <c r="J48" t="inlineStr">
        <is>
          <t>INCORRECT</t>
        </is>
      </c>
      <c r="K48" t="inlineStr">
        <is>
          <t>L02</t>
        </is>
      </c>
      <c r="M48" t="inlineStr">
        <is>
          <t>CORRECT</t>
        </is>
      </c>
      <c r="Q48" t="inlineStr">
        <is>
          <t>INCORRECT</t>
        </is>
      </c>
      <c r="R48" t="inlineStr">
        <is>
          <t>L08</t>
        </is>
      </c>
      <c r="S48" t="inlineStr">
        <is>
          <t>1008 * 0,4 + 0,2 == 403,2 + 0,2</t>
        </is>
      </c>
      <c r="U48" t="inlineStr">
        <is>
          <t>CORRECT</t>
        </is>
      </c>
      <c r="X48" t="inlineStr">
        <is>
          <t>All_Steps_Verified_OK</t>
        </is>
      </c>
    </row>
    <row r="49">
      <c r="A49" t="inlineStr">
        <is>
          <t>cor_17</t>
        </is>
      </c>
      <c r="B49" t="inlineStr">
        <is>
          <t>q_31</t>
        </is>
      </c>
      <c r="C49" t="inlineStr">
        <is>
          <t>Calibration_11Q</t>
        </is>
      </c>
      <c r="D49" t="inlineStr">
        <is>
          <t>qwen7b</t>
        </is>
      </c>
      <c r="E49" t="inlineStr">
        <is>
          <t>ĐÚNG</t>
        </is>
      </c>
      <c r="F49" t="inlineStr">
        <is>
          <t>140.66</t>
        </is>
      </c>
      <c r="G49" t="inlineStr">
        <is>
          <t>INCORRECT</t>
        </is>
      </c>
      <c r="H49" t="inlineStr">
        <is>
          <t>Học sinh viết \( A = \frac{6}{2 - 1.732} = 22.39 \) cm nhưng Lời giải mẫu là \( A = \frac{6}{2 - \sqrt{3}} \).</t>
        </is>
      </c>
      <c r="J49" t="inlineStr">
        <is>
          <t>INCORRECT</t>
        </is>
      </c>
      <c r="K49" t="inlineStr">
        <is>
          <t>L07</t>
        </is>
      </c>
      <c r="M49" t="inlineStr">
        <is>
          <t>INCORRECT</t>
        </is>
      </c>
      <c r="N49" t="inlineStr">
        <is>
          <t>L02</t>
        </is>
      </c>
      <c r="O49" t="inlineStr">
        <is>
          <t>vmax == vmax/2</t>
        </is>
      </c>
      <c r="Q49" t="inlineStr">
        <is>
          <t>INCORRECT</t>
        </is>
      </c>
      <c r="R49" t="inlineStr">
        <is>
          <t>L06</t>
        </is>
      </c>
      <c r="S49" t="inlineStr">
        <is>
          <t>A == 6 / (2 - 1,732)</t>
        </is>
      </c>
      <c r="U49" t="inlineStr">
        <is>
          <t>CORRECT</t>
        </is>
      </c>
      <c r="X49" t="inlineStr">
        <is>
          <t>All_Steps_Verified_OK</t>
        </is>
      </c>
    </row>
    <row r="50">
      <c r="A50" t="inlineStr">
        <is>
          <t>cor_18</t>
        </is>
      </c>
      <c r="B50" t="inlineStr">
        <is>
          <t>q_31</t>
        </is>
      </c>
      <c r="C50" t="inlineStr">
        <is>
          <t>Calibration_11Q</t>
        </is>
      </c>
      <c r="D50" t="inlineStr">
        <is>
          <t>gemini2_5flash</t>
        </is>
      </c>
      <c r="E50" t="inlineStr">
        <is>
          <t>ĐÚNG</t>
        </is>
      </c>
      <c r="F50" t="inlineStr">
        <is>
          <t>140.66</t>
        </is>
      </c>
      <c r="G50" t="inlineStr">
        <is>
          <t>INCORRECT</t>
        </is>
      </c>
      <c r="H50" t="inlineStr">
        <is>
          <t>Học sinh viết $A = 6(2 + \sqrt{3})$ cm nhưng Lời giải mẫu là $A = \frac{6}{2 - \sqrt{3}}$ cm.</t>
        </is>
      </c>
      <c r="J50" t="inlineStr">
        <is>
          <t>CORRECT</t>
        </is>
      </c>
      <c r="M50" t="inlineStr">
        <is>
          <t>CORRECT</t>
        </is>
      </c>
      <c r="Q50" t="inlineStr">
        <is>
          <t>CORRECT</t>
        </is>
      </c>
      <c r="U50" t="inlineStr">
        <is>
          <t>CORRECT</t>
        </is>
      </c>
      <c r="X50" t="inlineStr">
        <is>
          <t>All_Steps_Verified_OK</t>
        </is>
      </c>
    </row>
    <row r="51">
      <c r="A51" t="inlineStr">
        <is>
          <t>cor_19</t>
        </is>
      </c>
      <c r="B51" t="inlineStr">
        <is>
          <t>q_32</t>
        </is>
      </c>
      <c r="C51" t="inlineStr">
        <is>
          <t>HeldOut_Unseen_11Q</t>
        </is>
      </c>
      <c r="D51" t="inlineStr">
        <is>
          <t>qwen7b</t>
        </is>
      </c>
      <c r="E51" t="inlineStr">
        <is>
          <t>ĐÚNG</t>
        </is>
      </c>
      <c r="F51" t="inlineStr">
        <is>
          <t>T/8</t>
        </is>
      </c>
      <c r="G51" t="inlineStr">
        <is>
          <t>INCORRECT</t>
        </is>
      </c>
      <c r="H51" t="inlineStr">
        <is>
          <t>Học sinh viết \( x = \pm A\sqrt{2}/2 \) nhưng Lời giải mẫu là \( x = \frac{A}{\sqrt{2}} \).</t>
        </is>
      </c>
      <c r="J51" t="inlineStr">
        <is>
          <t>CORRECT</t>
        </is>
      </c>
      <c r="M51" t="inlineStr">
        <is>
          <t>CORRECT</t>
        </is>
      </c>
      <c r="Q51" t="inlineStr">
        <is>
          <t>CORRECT</t>
        </is>
      </c>
      <c r="U51" t="inlineStr">
        <is>
          <t>CORRECT</t>
        </is>
      </c>
      <c r="X51" t="inlineStr">
        <is>
          <t>All_Steps_Verified_OK</t>
        </is>
      </c>
    </row>
    <row r="52">
      <c r="A52" t="inlineStr">
        <is>
          <t>cor_20</t>
        </is>
      </c>
      <c r="B52" t="inlineStr">
        <is>
          <t>q_33</t>
        </is>
      </c>
      <c r="C52" t="inlineStr">
        <is>
          <t>Calibration_11Q</t>
        </is>
      </c>
      <c r="D52" t="inlineStr">
        <is>
          <t>qwen7b</t>
        </is>
      </c>
      <c r="E52" t="inlineStr">
        <is>
          <t>ĐÚNG</t>
        </is>
      </c>
      <c r="F52" t="inlineStr">
        <is>
          <t>1000</t>
        </is>
      </c>
      <c r="G52" t="inlineStr">
        <is>
          <t>CORRECT</t>
        </is>
      </c>
      <c r="H52" t="inlineStr">
        <is>
          <t>Không có bước sai.</t>
        </is>
      </c>
      <c r="J52" t="inlineStr">
        <is>
          <t>INCORRECT</t>
        </is>
      </c>
      <c r="K52" t="inlineStr">
        <is>
          <t>L01</t>
        </is>
      </c>
      <c r="M52" t="inlineStr">
        <is>
          <t>INCORRECT</t>
        </is>
      </c>
      <c r="N52" t="inlineStr">
        <is>
          <t>L06</t>
        </is>
      </c>
      <c r="O52" t="inlineStr">
        <is>
          <t>(10*pi / 10*pi*sqrt(2))**2 + (a / 100*pi**2*sqrt(2))**2 == 1</t>
        </is>
      </c>
      <c r="Q52" t="inlineStr">
        <is>
          <t>INCORRECT</t>
        </is>
      </c>
      <c r="R52" t="inlineStr">
        <is>
          <t>L09</t>
        </is>
      </c>
      <c r="S52" t="inlineStr">
        <is>
          <t>π^2 == 10</t>
        </is>
      </c>
      <c r="U52" t="inlineStr">
        <is>
          <t>CORRECT</t>
        </is>
      </c>
      <c r="X52" t="inlineStr">
        <is>
          <t>All_Steps_Verified_OK</t>
        </is>
      </c>
    </row>
    <row r="53">
      <c r="A53" t="inlineStr">
        <is>
          <t>cor_21</t>
        </is>
      </c>
      <c r="B53" t="inlineStr">
        <is>
          <t>q_33</t>
        </is>
      </c>
      <c r="C53" t="inlineStr">
        <is>
          <t>Calibration_11Q</t>
        </is>
      </c>
      <c r="D53" t="inlineStr">
        <is>
          <t>gpt4o</t>
        </is>
      </c>
      <c r="E53" t="inlineStr">
        <is>
          <t>ĐÚNG</t>
        </is>
      </c>
      <c r="F53" t="inlineStr">
        <is>
          <t>1000</t>
        </is>
      </c>
      <c r="G53" t="inlineStr">
        <is>
          <t>INCORRECT</t>
        </is>
      </c>
      <c r="H53" t="inlineStr">
        <is>
          <t>Học sinh viết \( a = -100\pi^2 \cdot \left(\pm 1\right) \) nhưng Lời giải mẫu là \( |a| = 100\pi^2 \, \text{cm/s}^2 \).</t>
        </is>
      </c>
      <c r="J53" t="inlineStr">
        <is>
          <t>CORRECT</t>
        </is>
      </c>
      <c r="M53" t="inlineStr">
        <is>
          <t>CORRECT</t>
        </is>
      </c>
      <c r="Q53" t="inlineStr">
        <is>
          <t>CORRECT</t>
        </is>
      </c>
      <c r="U53" t="inlineStr">
        <is>
          <t>CORRECT</t>
        </is>
      </c>
      <c r="X53" t="inlineStr">
        <is>
          <t>All_Steps_Verified_OK</t>
        </is>
      </c>
    </row>
    <row r="54">
      <c r="A54" t="inlineStr">
        <is>
          <t>cor_22</t>
        </is>
      </c>
      <c r="B54" t="inlineStr">
        <is>
          <t>q_34</t>
        </is>
      </c>
      <c r="C54" t="inlineStr">
        <is>
          <t>HeldOut_Unseen_11Q</t>
        </is>
      </c>
      <c r="D54" t="inlineStr">
        <is>
          <t>qwen7b</t>
        </is>
      </c>
      <c r="E54" t="inlineStr">
        <is>
          <t>ĐÚNG</t>
        </is>
      </c>
      <c r="F54" t="inlineStr">
        <is>
          <t>0.5</t>
        </is>
      </c>
      <c r="G54" t="inlineStr">
        <is>
          <t>INCORRECT</t>
        </is>
      </c>
      <c r="H54" t="inlineStr">
        <is>
          <t>Học sinh viết \(\omega = 4\pi\) nhưng Lời giải mẫu là \(\omega = 4\pi\). (Nếu bài đúng: ghi 'Không có bước sai'.)</t>
        </is>
      </c>
      <c r="J54" t="inlineStr">
        <is>
          <t>INCORRECT</t>
        </is>
      </c>
      <c r="K54" t="inlineStr">
        <is>
          <t>L05</t>
        </is>
      </c>
      <c r="M54" t="inlineStr">
        <is>
          <t>INCORRECT</t>
        </is>
      </c>
      <c r="N54" t="inlineStr">
        <is>
          <t>L05</t>
        </is>
      </c>
      <c r="O54" t="inlineStr">
        <is>
          <t>vx**2 == 3*A**2/4</t>
        </is>
      </c>
      <c r="Q54" t="inlineStr">
        <is>
          <t>CORRECT</t>
        </is>
      </c>
      <c r="U54" t="inlineStr">
        <is>
          <t>CORRECT</t>
        </is>
      </c>
      <c r="X54" t="inlineStr">
        <is>
          <t>All_Steps_Verified_OK</t>
        </is>
      </c>
    </row>
    <row r="55">
      <c r="A55" t="inlineStr">
        <is>
          <t>cor_23</t>
        </is>
      </c>
      <c r="B55" t="inlineStr">
        <is>
          <t>q_35</t>
        </is>
      </c>
      <c r="C55" t="inlineStr">
        <is>
          <t>Calibration_11Q</t>
        </is>
      </c>
      <c r="D55" t="inlineStr">
        <is>
          <t>qwen7b</t>
        </is>
      </c>
      <c r="E55" t="inlineStr">
        <is>
          <t>ĐÚNG</t>
        </is>
      </c>
      <c r="F55" t="inlineStr">
        <is>
          <t>{'A': 6, 'omega': 20}</t>
        </is>
      </c>
      <c r="G55" t="inlineStr">
        <is>
          <t>CORRECT</t>
        </is>
      </c>
      <c r="H55" t="inlineStr">
        <is>
          <t>Không có bước sai.</t>
        </is>
      </c>
      <c r="J55" t="inlineStr">
        <is>
          <t>INCORRECT</t>
        </is>
      </c>
      <c r="K55" t="inlineStr">
        <is>
          <t>L03</t>
        </is>
      </c>
      <c r="M55" t="inlineStr">
        <is>
          <t>CORRECT</t>
        </is>
      </c>
      <c r="Q55" t="inlineStr">
        <is>
          <t>CORRECT</t>
        </is>
      </c>
      <c r="U55" t="inlineStr">
        <is>
          <t>CORRECT</t>
        </is>
      </c>
      <c r="X55" t="inlineStr">
        <is>
          <t>All_Steps_Verified_OK</t>
        </is>
      </c>
    </row>
    <row r="56">
      <c r="A56" t="inlineStr">
        <is>
          <t>cor_24</t>
        </is>
      </c>
      <c r="B56" t="inlineStr">
        <is>
          <t>q_35</t>
        </is>
      </c>
      <c r="C56" t="inlineStr">
        <is>
          <t>Calibration_11Q</t>
        </is>
      </c>
      <c r="D56" t="inlineStr">
        <is>
          <t>gpt4o</t>
        </is>
      </c>
      <c r="E56" t="inlineStr">
        <is>
          <t>ĐÚNG</t>
        </is>
      </c>
      <c r="F56" t="inlineStr">
        <is>
          <t>{'A': 6, 'omega': 20}</t>
        </is>
      </c>
      <c r="G56" t="inlineStr">
        <is>
          <t>CORRECT</t>
        </is>
      </c>
      <c r="H56" t="inlineStr">
        <is>
          <t>Không có bước sai.</t>
        </is>
      </c>
      <c r="J56" t="inlineStr">
        <is>
          <t>CORRECT</t>
        </is>
      </c>
      <c r="M56" t="inlineStr">
        <is>
          <t>CORRECT</t>
        </is>
      </c>
      <c r="Q56" t="inlineStr">
        <is>
          <t>CORRECT</t>
        </is>
      </c>
      <c r="U56" t="inlineStr">
        <is>
          <t>CORRECT</t>
        </is>
      </c>
      <c r="X56" t="inlineStr">
        <is>
          <t>All_Steps_Verified_OK</t>
        </is>
      </c>
    </row>
    <row r="57">
      <c r="A57" t="inlineStr">
        <is>
          <t>cor_25</t>
        </is>
      </c>
      <c r="B57" t="inlineStr">
        <is>
          <t>q_36</t>
        </is>
      </c>
      <c r="C57" t="inlineStr">
        <is>
          <t>HeldOut_Unseen_11Q</t>
        </is>
      </c>
      <c r="D57" t="inlineStr">
        <is>
          <t>qwen7b</t>
        </is>
      </c>
      <c r="E57" t="inlineStr">
        <is>
          <t>ĐÚNG</t>
        </is>
      </c>
      <c r="F57" t="inlineStr">
        <is>
          <t>1/12</t>
        </is>
      </c>
      <c r="G57" t="inlineStr">
        <is>
          <t>CORRECT</t>
        </is>
      </c>
      <c r="H57" t="inlineStr">
        <is>
          <t>Không có bước sai.</t>
        </is>
      </c>
      <c r="J57" t="inlineStr">
        <is>
          <t>INCORRECT</t>
        </is>
      </c>
      <c r="K57" t="inlineStr">
        <is>
          <t>L06</t>
        </is>
      </c>
      <c r="M57" t="inlineStr">
        <is>
          <t>INCORRECT</t>
        </is>
      </c>
      <c r="N57" t="inlineStr">
        <is>
          <t>L06</t>
        </is>
      </c>
      <c r="O57" t="inlineStr">
        <is>
          <t>a_max == 16*pi**2*A</t>
        </is>
      </c>
      <c r="Q57" t="inlineStr">
        <is>
          <t>CORRECT</t>
        </is>
      </c>
      <c r="U57" t="inlineStr">
        <is>
          <t>CORRECT</t>
        </is>
      </c>
      <c r="X57" t="inlineStr">
        <is>
          <t>All_Steps_Verified_OK</t>
        </is>
      </c>
    </row>
    <row r="58">
      <c r="A58" t="inlineStr">
        <is>
          <t>cor_26</t>
        </is>
      </c>
      <c r="B58" t="inlineStr">
        <is>
          <t>q_37</t>
        </is>
      </c>
      <c r="C58" t="inlineStr">
        <is>
          <t>Calibration_11Q</t>
        </is>
      </c>
      <c r="D58" t="inlineStr">
        <is>
          <t>qwen7b</t>
        </is>
      </c>
      <c r="E58" t="inlineStr">
        <is>
          <t>ĐÚNG</t>
        </is>
      </c>
      <c r="F58" t="inlineStr">
        <is>
          <t>0.06*sqrt(2)</t>
        </is>
      </c>
      <c r="G58" t="inlineStr">
        <is>
          <t>INCORRECT</t>
        </is>
      </c>
      <c r="H58" t="inlineStr">
        <is>
          <t>Học sinh viết \(A = 0.06 \sqrt{2} \, \text{m}\) nhưng Lời giải mẫu là \(A = 0.08484 \, \text{m}\).</t>
        </is>
      </c>
      <c r="J58" t="inlineStr">
        <is>
          <t>CORRECT</t>
        </is>
      </c>
      <c r="M58" t="inlineStr">
        <is>
          <t>CORRECT</t>
        </is>
      </c>
      <c r="Q58" t="inlineStr">
        <is>
          <t>CORRECT</t>
        </is>
      </c>
      <c r="U58" t="inlineStr">
        <is>
          <t>CORRECT</t>
        </is>
      </c>
      <c r="X58" t="inlineStr">
        <is>
          <t>All_Steps_Verified_OK</t>
        </is>
      </c>
    </row>
    <row r="59">
      <c r="A59" t="inlineStr">
        <is>
          <t>cor_27</t>
        </is>
      </c>
      <c r="B59" t="inlineStr">
        <is>
          <t>q_38</t>
        </is>
      </c>
      <c r="C59" t="inlineStr">
        <is>
          <t>HeldOut_Unseen_11Q</t>
        </is>
      </c>
      <c r="D59" t="inlineStr">
        <is>
          <t>qwen7b</t>
        </is>
      </c>
      <c r="E59" t="inlineStr">
        <is>
          <t>ĐÚNG</t>
        </is>
      </c>
      <c r="F59" t="inlineStr">
        <is>
          <t>1</t>
        </is>
      </c>
      <c r="G59" t="inlineStr">
        <is>
          <t>INCORRECT</t>
        </is>
      </c>
      <c r="H59" t="inlineStr">
        <is>
          <t>Học sinh viết \( \omega = \sqrt{40} = 2\sqrt{10} \) (rad/s) nhưng Lời giải mẫu là \( \omega = \sqrt{40} = 6.32455532033676 \) (rad/s).</t>
        </is>
      </c>
      <c r="J59" t="inlineStr">
        <is>
          <t>INCORRECT</t>
        </is>
      </c>
      <c r="K59" t="inlineStr">
        <is>
          <t>L06</t>
        </is>
      </c>
      <c r="M59" t="inlineStr">
        <is>
          <t>CORRECT</t>
        </is>
      </c>
      <c r="Q59" t="inlineStr">
        <is>
          <t>INCORRECT</t>
        </is>
      </c>
      <c r="R59" t="inlineStr">
        <is>
          <t>L06</t>
        </is>
      </c>
      <c r="S59" t="inlineStr">
        <is>
          <t>f == ω / (2π)</t>
        </is>
      </c>
      <c r="U59" t="inlineStr">
        <is>
          <t>CORRECT</t>
        </is>
      </c>
      <c r="X59" t="inlineStr">
        <is>
          <t>All_Steps_Verified_OK</t>
        </is>
      </c>
    </row>
    <row r="60">
      <c r="A60" t="inlineStr">
        <is>
          <t>cor_28</t>
        </is>
      </c>
      <c r="B60" t="inlineStr">
        <is>
          <t>q_39</t>
        </is>
      </c>
      <c r="C60" t="inlineStr">
        <is>
          <t>Calibration_11Q</t>
        </is>
      </c>
      <c r="D60" t="inlineStr">
        <is>
          <t>qwen7b</t>
        </is>
      </c>
      <c r="E60" t="inlineStr">
        <is>
          <t>ĐÚNG</t>
        </is>
      </c>
      <c r="F60" t="inlineStr">
        <is>
          <t>5*cos(pi*t - pi/3)</t>
        </is>
      </c>
      <c r="G60" t="inlineStr">
        <is>
          <t>INCORRECT</t>
        </is>
      </c>
      <c r="H60" t="inlineStr">
        <is>
          <t>Học sinh viết \( \cos(\phi_t) = \frac{2.5}{5} = 1/2 \) nhưng Lời giải mẫu là \( \cos(\phi_t) = \frac{2.5}{5} = 0.5 \).</t>
        </is>
      </c>
      <c r="J60" t="inlineStr">
        <is>
          <t>INCORRECT</t>
        </is>
      </c>
      <c r="K60" t="inlineStr">
        <is>
          <t>L01</t>
        </is>
      </c>
      <c r="M60" t="inlineStr">
        <is>
          <t>CORRECT</t>
        </is>
      </c>
      <c r="Q60" t="inlineStr">
        <is>
          <t>INCORRECT</t>
        </is>
      </c>
      <c r="R60" t="inlineStr">
        <is>
          <t>L01</t>
        </is>
      </c>
      <c r="S60" t="inlineStr">
        <is>
          <t>(ω.A)^2 == 250</t>
        </is>
      </c>
      <c r="U60" t="inlineStr">
        <is>
          <t>CORRECT</t>
        </is>
      </c>
      <c r="X60" t="inlineStr">
        <is>
          <t>All_Steps_Verified_OK</t>
        </is>
      </c>
    </row>
    <row r="61">
      <c r="A61" t="inlineStr">
        <is>
          <t>cor_29</t>
        </is>
      </c>
      <c r="B61" t="inlineStr">
        <is>
          <t>q_04</t>
        </is>
      </c>
      <c r="C61" t="inlineStr">
        <is>
          <t>Calibration_11Q</t>
        </is>
      </c>
      <c r="D61" t="inlineStr">
        <is>
          <t>qwen3b</t>
        </is>
      </c>
      <c r="E61" t="inlineStr">
        <is>
          <t>ĐÚNG</t>
        </is>
      </c>
      <c r="F61" t="inlineStr">
        <is>
          <t>0.25</t>
        </is>
      </c>
      <c r="G61" t="inlineStr">
        <is>
          <t>INCORRECT</t>
        </is>
      </c>
      <c r="H61" t="inlineStr">
        <is>
          <t>Học sinh viết $\Delta t = \frac{2\pi}{\omega \cdot 2}$ nhưng Lời giải mẫu là $\Delta t = \frac{\pi}{\omega}$.</t>
        </is>
      </c>
      <c r="J61" t="inlineStr">
        <is>
          <t>CORRECT</t>
        </is>
      </c>
      <c r="M61" t="inlineStr">
        <is>
          <t>CORRECT</t>
        </is>
      </c>
      <c r="Q61" t="inlineStr">
        <is>
          <t>CORRECT</t>
        </is>
      </c>
      <c r="U61" t="inlineStr">
        <is>
          <t>CORRECT</t>
        </is>
      </c>
      <c r="X61" t="inlineStr">
        <is>
          <t>All_Steps_Verified_OK</t>
        </is>
      </c>
    </row>
    <row r="62">
      <c r="A62" t="inlineStr">
        <is>
          <t>cor_30</t>
        </is>
      </c>
      <c r="B62" t="inlineStr">
        <is>
          <t>q_04</t>
        </is>
      </c>
      <c r="C62" t="inlineStr">
        <is>
          <t>Calibration_11Q</t>
        </is>
      </c>
      <c r="D62" t="inlineStr">
        <is>
          <t>gpt4o</t>
        </is>
      </c>
      <c r="E62" t="inlineStr">
        <is>
          <t>ĐÚNG</t>
        </is>
      </c>
      <c r="F62" t="inlineStr">
        <is>
          <t>0.25</t>
        </is>
      </c>
      <c r="G62" t="inlineStr">
        <is>
          <t>CORRECT</t>
        </is>
      </c>
      <c r="H62" t="inlineStr">
        <is>
          <t>Không có bước sai.</t>
        </is>
      </c>
      <c r="J62" t="inlineStr">
        <is>
          <t>CORRECT</t>
        </is>
      </c>
      <c r="M62" t="inlineStr">
        <is>
          <t>CORRECT</t>
        </is>
      </c>
      <c r="Q62" t="inlineStr">
        <is>
          <t>CORRECT</t>
        </is>
      </c>
      <c r="U62" t="inlineStr">
        <is>
          <t>CORRECT</t>
        </is>
      </c>
      <c r="X62" t="inlineStr">
        <is>
          <t>All_Steps_Verified_OK</t>
        </is>
      </c>
    </row>
    <row r="63">
      <c r="A63" t="inlineStr">
        <is>
          <t>cor_31</t>
        </is>
      </c>
      <c r="B63" t="inlineStr">
        <is>
          <t>q_04</t>
        </is>
      </c>
      <c r="C63" t="inlineStr">
        <is>
          <t>Calibration_11Q</t>
        </is>
      </c>
      <c r="D63" t="inlineStr">
        <is>
          <t>gemini2_5flash</t>
        </is>
      </c>
      <c r="E63" t="inlineStr">
        <is>
          <t>ĐÚNG</t>
        </is>
      </c>
      <c r="F63" t="inlineStr">
        <is>
          <t>0.25</t>
        </is>
      </c>
      <c r="G63" t="inlineStr">
        <is>
          <t>INCORRECT</t>
        </is>
      </c>
      <c r="H63" t="inlineStr">
        <is>
          <t>Học sinh viết $\Delta t = \frac{T}{2}$ nhưng Lời giải mẫu là $\Delta t = \frac{\pi}{\omega}$.</t>
        </is>
      </c>
      <c r="J63" t="inlineStr">
        <is>
          <t>CORRECT</t>
        </is>
      </c>
      <c r="M63" t="inlineStr">
        <is>
          <t>INCORRECT</t>
        </is>
      </c>
      <c r="N63" t="inlineStr">
        <is>
          <t>L11</t>
        </is>
      </c>
      <c r="O63" t="inlineStr">
        <is>
          <t>T == 2*pi/4*pi</t>
        </is>
      </c>
      <c r="Q63" t="inlineStr">
        <is>
          <t>CORRECT</t>
        </is>
      </c>
      <c r="U63" t="inlineStr">
        <is>
          <t>CORRECT</t>
        </is>
      </c>
      <c r="X63" t="inlineStr">
        <is>
          <t>All_Steps_Verified_OK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2"/>
  <sheetViews>
    <sheetView workbookViewId="0">
      <selection activeCell="A1" sqref="A1"/>
    </sheetView>
  </sheetViews>
  <sheetFormatPr baseColWidth="8" defaultRowHeight="15"/>
  <sheetData>
    <row r="1">
      <c r="A1" s="1" t="inlineStr">
        <is>
          <t>submission_id</t>
        </is>
      </c>
      <c r="B1" s="1" t="inlineStr">
        <is>
          <t>question_id</t>
        </is>
      </c>
      <c r="C1" s="1" t="inlineStr">
        <is>
          <t>question_split</t>
        </is>
      </c>
      <c r="D1" s="1" t="inlineStr">
        <is>
          <t>S0_PureLLM_Verdict</t>
        </is>
      </c>
      <c r="E1" s="1" t="inlineStr">
        <is>
          <t>S0_Localized_Step</t>
        </is>
      </c>
      <c r="F1" s="1" t="inlineStr">
        <is>
          <t>S0_Remediation_Fix</t>
        </is>
      </c>
      <c r="G1" s="1" t="inlineStr">
        <is>
          <t>S0_Loc_Correct</t>
        </is>
      </c>
      <c r="H1" s="1" t="inlineStr">
        <is>
          <t>S0_Expert_Faithful</t>
        </is>
      </c>
      <c r="I1" s="1" t="inlineStr">
        <is>
          <t>S0_Expert_Usefulness_1to3</t>
        </is>
      </c>
      <c r="J1" s="1" t="inlineStr">
        <is>
          <t>S3_SymPy_Verdict</t>
        </is>
      </c>
      <c r="K1" s="1" t="inlineStr">
        <is>
          <t>S3_Loc_Line</t>
        </is>
      </c>
      <c r="L1" s="1" t="inlineStr">
        <is>
          <t>S3_Loc_Expr</t>
        </is>
      </c>
      <c r="M1" s="1" t="inlineStr">
        <is>
          <t>S3_Error_Reason</t>
        </is>
      </c>
      <c r="N1" s="1" t="inlineStr">
        <is>
          <t>S3_ReAnchored_Remediation</t>
        </is>
      </c>
      <c r="O1" s="1" t="inlineStr">
        <is>
          <t>S3_Loc_Correct</t>
        </is>
      </c>
      <c r="P1" s="1" t="inlineStr">
        <is>
          <t>S3_Vietnamese_Clean</t>
        </is>
      </c>
      <c r="Q1" s="1" t="inlineStr">
        <is>
          <t>S3_Has_Socratic_Question</t>
        </is>
      </c>
    </row>
    <row r="2">
      <c r="A2" t="inlineStr">
        <is>
          <t>sub_01</t>
        </is>
      </c>
      <c r="B2" t="inlineStr">
        <is>
          <t>q_04</t>
        </is>
      </c>
      <c r="C2" t="inlineStr">
        <is>
          <t>Calibration_11Q</t>
        </is>
      </c>
      <c r="D2" t="inlineStr">
        <is>
          <t>INCORRECT</t>
        </is>
      </c>
      <c r="E2" t="inlineStr">
        <is>
          <t>Học sinh viết $\Delta t = \frac{2\pi}{\omega \cdot 2}$ nhưng Lời giải mẫu là $\Delta t = \frac{\pi}{\omega}$.</t>
        </is>
      </c>
      <c r="F2" t="inlineStr">
        <is>
          <t>Học sinh nên sử dụng công thức $\Delta t = \frac{\pi}{\omega}$ thay vì $\Delta t = \frac{2\pi}{\omega \cdot 2}$.</t>
        </is>
      </c>
      <c r="G2" t="n">
        <v>0</v>
      </c>
      <c r="H2" t="n">
        <v>0</v>
      </c>
      <c r="I2" t="n">
        <v>1</v>
      </c>
      <c r="J2" t="inlineStr">
        <is>
          <t>INCORRECT</t>
        </is>
      </c>
      <c r="K2" t="inlineStr">
        <is>
          <t>L04</t>
        </is>
      </c>
      <c r="L2" t="inlineStr">
        <is>
          <t>\frac{\pi}{4\pi} == 0,125  \text{ (s)}</t>
        </is>
      </c>
      <c r="M2" t="inlineStr">
        <is>
          <t>IntraStep_Calc_Error (1/4 != 0.125000000000000, Numeric_Mismatch(diff=0.125,tol=1.00e-06))</t>
        </is>
      </c>
      <c r="N2" t="inlineStr">
        <is>
          <t>Dòng L04 có lỗi ở chỗ học sinh đã thực hiện phép chia \(\frac{\pi}{4\pi}\) và thu được kết quả \(0.125\) thay vì \(0.25\). Theo công thức chuẩn, chu kỳ \(T\) của dao động là \(\frac{2\pi}{\omega}\), và khoảng thời gian giữa hai lần liên tiếp vật đi qua VTCB là \(\Delta t = \frac{T}{2} = \frac{\pi}{\omega}\). Vì vậy, khi thay \(\omega = 4\pi\) vào, ta sẽ có \(\Delta t = \frac{\pi}{4\pi} = \frac{1}{4} = 0.25\) s. Hãy kiểm tra lại phép tính của bạn và xem liệu bạn có làm tròn sai hay không? ?</t>
        </is>
      </c>
      <c r="O2" t="n">
        <v>1</v>
      </c>
      <c r="P2" t="n">
        <v>1</v>
      </c>
      <c r="Q2" t="n">
        <v>1</v>
      </c>
    </row>
    <row r="3">
      <c r="A3" t="inlineStr">
        <is>
          <t>sub_02</t>
        </is>
      </c>
      <c r="B3" t="inlineStr">
        <is>
          <t>q_08</t>
        </is>
      </c>
      <c r="C3" t="inlineStr">
        <is>
          <t>HeldOut_Unseen_11Q</t>
        </is>
      </c>
      <c r="D3" t="inlineStr">
        <is>
          <t>CORRECT</t>
        </is>
      </c>
      <c r="E3" t="inlineStr">
        <is>
          <t>Không có bước sai.</t>
        </is>
      </c>
      <c r="F3" t="inlineStr">
        <is>
          <t>Không cần sửa gì.</t>
        </is>
      </c>
      <c r="G3" t="n">
        <v>0</v>
      </c>
      <c r="J3" t="inlineStr">
        <is>
          <t>INCORRECT</t>
        </is>
      </c>
      <c r="K3" t="inlineStr">
        <is>
          <t>L01</t>
        </is>
      </c>
      <c r="L3" t="inlineStr">
        <is>
          <t>a_{max} == (\frac{v_{max}}{\omega})^2</t>
        </is>
      </c>
      <c r="M3" t="inlineStr">
        <is>
          <t>Physical_Law_Error (Symbolic_Mismatch)</t>
        </is>
      </c>
      <c r="N3" t="inlineStr">
        <is>
          <t>Dòng L01 của em có vấn đề. Em đã viết \( a_{max} = \left(\frac{v_{max}}{\omega}\right)^2 \), nhưng theo lời giải chuẩn, công thức đúng là \( a_{max} = \omega^2 A \). Vì vậy, em nên sử dụng mối quan hệ giữa \( a_{max} \), \( \omega \), và \( A \) để tìm \( \omega \) trước. Cụ thể, em có thể viết \( \omega^2 = \frac{a_{max}}{A} \). Vậy, em hãy thử lại từ đây xem sao?</t>
        </is>
      </c>
      <c r="O3" t="n">
        <v>1</v>
      </c>
      <c r="P3" t="n">
        <v>1</v>
      </c>
      <c r="Q3" t="n">
        <v>1</v>
      </c>
    </row>
    <row r="4">
      <c r="A4" t="inlineStr">
        <is>
          <t>sub_03</t>
        </is>
      </c>
      <c r="B4" t="inlineStr">
        <is>
          <t>q_10</t>
        </is>
      </c>
      <c r="C4" t="inlineStr">
        <is>
          <t>Calibration_11Q</t>
        </is>
      </c>
      <c r="D4" t="inlineStr">
        <is>
          <t>INCORRECT</t>
        </is>
      </c>
      <c r="E4" t="inlineStr">
        <is>
          <t>Học sinh viết \( A = \sqrt{9 + 16 + 24} = \sqrt{49} = 7 \) cm nhưng Lời giải mẫu là \( A = \sqrt{9 + 16 - 24} = \sqrt{1} = 1 \) cm.</t>
        </is>
      </c>
      <c r="F4" t="inlineStr">
        <is>
          <t>Học sinh cần lưu ý rằng độ lệch pha \( \Delta \phi = \pi \) rad, nên \( \cos(\Delta \phi) = \cos(\pi) = -1 \). Do đó, biểu thức cho biên độ tổng hợp \( A \) phải là \( A = \sqrt{9 + 16 + 2 \cdot 3 \cdot 4 \cdot (-1)} = \sqrt{1} = 1 \) cm.</t>
        </is>
      </c>
      <c r="G4" t="n">
        <v>0</v>
      </c>
      <c r="H4" t="n">
        <v>1</v>
      </c>
      <c r="I4" t="n">
        <v>2</v>
      </c>
      <c r="J4" t="inlineStr">
        <is>
          <t>INCORRECT</t>
        </is>
      </c>
      <c r="K4" t="inlineStr">
        <is>
          <t>L02</t>
        </is>
      </c>
      <c r="L4" t="inlineStr">
        <is>
          <t>x1 == 3cos(10t – π/3 + π/2)</t>
        </is>
      </c>
      <c r="M4" t="inlineStr">
        <is>
          <t>Initial_Wave_Mismatch (Symbolic_Mismatch)</t>
        </is>
      </c>
      <c r="N4" t="inlineStr">
        <is>
          <t>Dòng L02 có vấn đề. Học sinh đã chuẩn hóa phương trình \( x_1 \) thành \( 3\cos(10t - \frac{\pi}{3} + \frac{\pi}{2}) \), nhưng theo công thức chuẩn, ta cần cộng thêm \( \frac{\pi}{2} \) vào pha của \( x_1 \) để chuyển nó sang dạng cos. Tuy nhiên, học sinh đã cộng \( \frac{\pi}{2} \) vào pha \( -\frac{\pi}{3} \) mà không đổi dấu, dẫn đến sai lệch. Theo công thức chuẩn, pha của \( x_1 \) sau khi chuẩn hóa nên là \( -\frac{\pi}{3} - \frac{\pi}{2} = -\frac{5\pi}{6} \). Hãy kiểm tra lại và viết lại pha của \( x_1 \) sao cho nó đúng theo công thức chuẩn, rồi tiếp tục tính toán nhé?</t>
        </is>
      </c>
      <c r="O4" t="n">
        <v>1</v>
      </c>
      <c r="P4" t="n">
        <v>1</v>
      </c>
      <c r="Q4" t="n">
        <v>1</v>
      </c>
    </row>
    <row r="5">
      <c r="A5" t="inlineStr">
        <is>
          <t>sub_04</t>
        </is>
      </c>
      <c r="B5" t="inlineStr">
        <is>
          <t>q_17</t>
        </is>
      </c>
      <c r="C5" t="inlineStr">
        <is>
          <t>HeldOut_Unseen_11Q</t>
        </is>
      </c>
      <c r="D5" t="inlineStr">
        <is>
          <t>INCORRECT</t>
        </is>
      </c>
      <c r="E5" t="inlineStr">
        <is>
          <t>Học sinh viết \( v_{tb} = \frac{A\sqrt{3}}{\frac{T}{3}} = 9A/T \) nhưng Lời giải mẫu là \( v_{tb} = \frac{A\sqrt{3}}{\frac{T}{3}} = 3A\sqrt{3}/T \).</t>
        </is>
      </c>
      <c r="F5" t="inlineStr">
        <is>
          <t>Học sinh nên sử dụng công thức \( v_{tb} = \frac{S}{\Delta t} = \frac{A\sqrt{3}}{\frac{T}{3}} = 3A\sqrt{3}/T \) như trong Lời giải mẫu.</t>
        </is>
      </c>
      <c r="G5" t="n">
        <v>1</v>
      </c>
      <c r="H5" t="n">
        <v>1</v>
      </c>
      <c r="I5" t="n">
        <v>3</v>
      </c>
      <c r="J5" t="inlineStr">
        <is>
          <t>INCORRECT</t>
        </is>
      </c>
      <c r="K5" t="inlineStr">
        <is>
          <t>L08</t>
        </is>
      </c>
      <c r="L5" t="inlineStr">
        <is>
          <t>A.sqrt(3) / (T/3) == 9.A/T.</t>
        </is>
      </c>
      <c r="M5" t="inlineStr">
        <is>
          <t>Symbolic_Simplification_Error (3*sqrt(3)*A/T != 9*A/T)</t>
        </is>
      </c>
      <c r="N5" t="inlineStr">
        <is>
          <t>Dòng L08 có vấn đề. Học sinh đã nhầm lẫn trong việc tính thời gian \(\Delta t\). Theo lời giải chuẩn, thời gian \(\Delta t\) mà vật ở vùng \(\left| x \right| \leq \frac{A\sqrt{3}}{2}\) trong nửa chu kì là \(\frac{T}{3}\), không phải \(\frac{T}{6}\). Do đó, biểu thức \(\frac{A\sqrt{3}}{\frac{T}{3}}\) nên được viết lại là \(3A\sqrt{3} \cdot \frac{1}{T}\). Học sinh hãy kiểm tra lại công thức tính thời gian \(\Delta t\) và quãng đường \(S\) trong bước này, sau đó tính lại tốc độ trung bình \(v_{tb}\)?</t>
        </is>
      </c>
      <c r="O5" t="n">
        <v>1</v>
      </c>
      <c r="P5" t="n">
        <v>1</v>
      </c>
      <c r="Q5" t="n">
        <v>1</v>
      </c>
    </row>
    <row r="6">
      <c r="A6" t="inlineStr">
        <is>
          <t>sub_05</t>
        </is>
      </c>
      <c r="B6" t="inlineStr">
        <is>
          <t>q_19</t>
        </is>
      </c>
      <c r="C6" t="inlineStr">
        <is>
          <t>Calibration_11Q</t>
        </is>
      </c>
      <c r="D6" t="inlineStr">
        <is>
          <t>INCORRECT</t>
        </is>
      </c>
      <c r="E6" t="inlineStr">
        <is>
          <t>Học sinh viết \( W = 0,02 + 0,1125\pi \, \text{J} \) nhưng Lời giải mẫu là \( W = 0,245 \, \text{J} \).</t>
        </is>
      </c>
      <c r="F6" t="inlineStr">
        <is>
          <t>Học sinh cần tính toán lại động năng ban đầu \( W_d \) đúng theo công thức và giá trị đã cho. Động năng ban đầu \( W_d = \frac{1}{2} \times 0.4 \times (0.15\sqrt{5}\pi)^2 \), sau đó cộng với thế năng ban đầu \( W_t = 0.02 \, \text{J} \) để được năng lượng dao động \( W = 0.245 \, \text{J} \).</t>
        </is>
      </c>
      <c r="G6" t="n">
        <v>0</v>
      </c>
      <c r="H6" t="n">
        <v>1</v>
      </c>
      <c r="I6" t="n">
        <v>2</v>
      </c>
      <c r="J6" t="inlineStr">
        <is>
          <t>INCORRECT</t>
        </is>
      </c>
      <c r="K6" t="inlineStr">
        <is>
          <t>L05</t>
        </is>
      </c>
      <c r="L6" t="inlineStr">
        <is>
          <t>W == 50.(0,0004) + 0,2.(0,0225 * 5π)</t>
        </is>
      </c>
      <c r="M6" t="inlineStr">
        <is>
          <t>Sequential_Value_Drift (W: prev=0.02 + 0.0225*pi**2 vs new=0.02 + 0.0225*pi)</t>
        </is>
      </c>
      <c r="N6" t="inlineStr">
        <is>
          <t>Dòng L05 có vấn đề. Theo lời giải chuẩn, tại L05 bạn nên giữ nguyên biểu thức động năng như sau: \( W_d = \frac{1}{2} \times 0.4 \times (0.15\sqrt{5}\pi)^2 \). Tuy nhiên, bạn đã thay đổi thành \( W_d = 50 \times (0.0004) + 0.2 \times (0.0225 \times 5\pi) \), khiến biểu thức không còn chính xác. Hãy kiểm tra lại công thức động năng và thay số đúng theo lời giải chuẩn. Bạn có thể làm lại từ đây?</t>
        </is>
      </c>
      <c r="O6" t="n">
        <v>1</v>
      </c>
      <c r="P6" t="n">
        <v>1</v>
      </c>
      <c r="Q6" t="n">
        <v>1</v>
      </c>
    </row>
    <row r="7">
      <c r="A7" t="inlineStr">
        <is>
          <t>sub_06</t>
        </is>
      </c>
      <c r="B7" t="inlineStr">
        <is>
          <t>q_19</t>
        </is>
      </c>
      <c r="C7" t="inlineStr">
        <is>
          <t>Calibration_11Q</t>
        </is>
      </c>
      <c r="D7" t="inlineStr">
        <is>
          <t>INCORRECT</t>
        </is>
      </c>
      <c r="E7" t="inlineStr">
        <is>
          <t>Học sinh viết \( W = 50 \times (0,0004) + 0,2 \times (0,225 \times 5 \times 10) \) nhưng Lời giải mẫu là \( W = \frac{1}{2} \times 100 \times (0.02)^2 + \frac{1}{2} \times 0.4 \times (0.15\sqrt{5}\pi)^2 \).</t>
        </is>
      </c>
      <c r="F7" t="inlineStr">
        <is>
          <t>Học sinh nên sử dụng công thức chính xác từ Lời giải mẫu: \( W = \frac{1}{2} \times 100 \times (0.02)^2 + \frac{1}{2} \times 0.4 \times (0.15\sqrt{5}\pi)^2 \).</t>
        </is>
      </c>
      <c r="G7" t="n">
        <v>1</v>
      </c>
      <c r="H7" t="n">
        <v>1</v>
      </c>
      <c r="I7" t="n">
        <v>1</v>
      </c>
      <c r="J7" t="inlineStr">
        <is>
          <t>INCORRECT</t>
        </is>
      </c>
      <c r="K7" t="inlineStr">
        <is>
          <t>L05</t>
        </is>
      </c>
      <c r="L7" t="inlineStr">
        <is>
          <t>W == 50.(0,0004) + 0,2.(0,225 * 5 * 10)</t>
        </is>
      </c>
      <c r="M7" t="inlineStr">
        <is>
          <t>Sequential_Value_Drift (W: prev=0.02 + 0.0225*pi**2 vs new=2.27000000000000)</t>
        </is>
      </c>
      <c r="N7" t="inlineStr">
        <is>
          <t>Dòng L05 có vấn đề. Theo lời giải chuẩn, biểu thức tại L05 nên là \( W = 50 \times (0.0004) + 0.2 \times (0.225 \times 5 \times 10) \), nhưng học sinh đã nhầm lẫn và viết thành \( W = 50 \times (0.0004) + 0.2 \times (0.225 \times 5 \times 10) \). Điều này khiến kết quả không chính xác. Hãy kiểm tra lại từng bước tính toán và so sánh với công thức chuẩn. Bạn đã làm gì khác biệt ở đây? ?</t>
        </is>
      </c>
      <c r="O7" t="n">
        <v>1</v>
      </c>
      <c r="P7" t="n">
        <v>1</v>
      </c>
      <c r="Q7" t="n">
        <v>1</v>
      </c>
    </row>
    <row r="8">
      <c r="A8" t="inlineStr">
        <is>
          <t>sub_07</t>
        </is>
      </c>
      <c r="B8" t="inlineStr">
        <is>
          <t>q_20</t>
        </is>
      </c>
      <c r="C8" t="inlineStr">
        <is>
          <t>HeldOut_Unseen_11Q</t>
        </is>
      </c>
      <c r="D8" t="inlineStr">
        <is>
          <t>INCORRECT</t>
        </is>
      </c>
      <c r="E8" t="inlineStr">
        <is>
          <t>Học sinh viết \( W_{\text{đmax}} = \frac{1}{2} \cdot 0.05 \cdot 3^2 \cdot 0.04^2 \) nhưng Lời giải mẫu là \( W_{\text{đmax}} = \frac{1}{2} \cdot 0.05 \cdot (0.12)^2 \).</t>
        </is>
      </c>
      <c r="F8" t="inlineStr">
        <is>
          <t>Học sinh nên sử dụng công thức \( W_{\text{đmax}} = \frac{1}{2} m v_{\text{max}}^2 \) thay vì \( W_{\text{đmax}} = \frac{1}{2} m \omega^2 A^2 \). Vận tốc cực đại \( v_{\text{max}} \) đã được tính trước đó là \( 0.12 \, \text{m/s} \).</t>
        </is>
      </c>
      <c r="G8" t="n">
        <v>0</v>
      </c>
      <c r="H8" t="n">
        <v>1</v>
      </c>
      <c r="I8" t="n">
        <v>1</v>
      </c>
      <c r="J8" t="inlineStr">
        <is>
          <t>INCORRECT</t>
        </is>
      </c>
      <c r="K8" t="inlineStr">
        <is>
          <t>L06</t>
        </is>
      </c>
      <c r="L8" t="inlineStr">
        <is>
          <t>Wd_max == 0,00225 (J).</t>
        </is>
      </c>
      <c r="M8" t="inlineStr">
        <is>
          <t>Sequential_Value_Drift (Wd_max: prev=0.000360000000000000 vs new=0.00225000000000000)</t>
        </is>
      </c>
      <c r="N8" t="inlineStr">
        <is>
          <t>Dòng L06 có lỗi. Theo công thức của lời giải chuẩn Stage 1, động năng cực đại \( W_{\text{đmax}} \) được tính bằng công thức \( W_{\text{đmax}} = \frac{1}{2} m v_{\text{max}}^2 \), trong đó \( v_{\text{max}} = \omega A \). Học sinh đã sử dụng công thức này nhưng có sự nhầm lẫn trong quá trình tính toán. Hãy kiểm tra lại phép tính của bạn và so sánh với công thức \( W_{\text{đmax}} = \frac{1}{2} \times 0.05 \times (0.12)^2 \)?</t>
        </is>
      </c>
      <c r="O8" t="n">
        <v>1</v>
      </c>
      <c r="P8" t="n">
        <v>1</v>
      </c>
      <c r="Q8" t="n">
        <v>1</v>
      </c>
    </row>
    <row r="9">
      <c r="A9" t="inlineStr">
        <is>
          <t>sub_08</t>
        </is>
      </c>
      <c r="B9" t="inlineStr">
        <is>
          <t>q_22</t>
        </is>
      </c>
      <c r="C9" t="inlineStr">
        <is>
          <t>Calibration_11Q</t>
        </is>
      </c>
      <c r="D9" t="inlineStr">
        <is>
          <t>INCORRECT</t>
        </is>
      </c>
      <c r="E9" t="inlineStr">
        <is>
          <t>Học sinh viết \(\alpha_0^2 = \frac{0.441}{78.4}\) nhưng Lời giải mẫu là \(\alpha_0^2 = \frac{0.441}{78.4}\). (Bước này tương đương toán học.)</t>
        </is>
      </c>
      <c r="F9" t="inlineStr">
        <is>
          <t>Không cần sửa, vì biểu thức của học sinh và Lời giải mẫu là giống nhau.</t>
        </is>
      </c>
      <c r="G9" t="n">
        <v>0</v>
      </c>
      <c r="H9" t="n">
        <v>0</v>
      </c>
      <c r="I9" t="n">
        <v>1</v>
      </c>
      <c r="J9" t="inlineStr">
        <is>
          <t>INCORRECT</t>
        </is>
      </c>
      <c r="K9" t="inlineStr">
        <is>
          <t>L05</t>
        </is>
      </c>
      <c r="L9" t="inlineStr">
        <is>
          <t>alpha0^2 == 0,00565625.</t>
        </is>
      </c>
      <c r="M9" t="inlineStr">
        <is>
          <t>IntraStep_Calc_Error (9/1600 != 0.00565625000000000, Numeric_Mismatch(diff=3.125e-05,tol=1.00e-06))</t>
        </is>
      </c>
      <c r="N9" t="inlineStr">
        <is>
          <t>Dòng L05 có vấn đề. Theo công thức chuẩn, bạn đã tính được \(\alpha_0^2 = \frac{0.441}{78.4}\), nhưng kết quả bạn đưa ra là \(\alpha_0^2 = 0.00565625\). Thực tế, \(\frac{0.441}{78.4}\) sẽ cho kết quả khác. Hãy kiểm tra lại phép chia này và xem liệu bạn có làm tròn sai hay không? ? Hãy tính lại \(\frac{0.441}{78.4}\) và so sánh với kết quả bạn đã có.</t>
        </is>
      </c>
      <c r="O9" t="n">
        <v>1</v>
      </c>
      <c r="P9" t="n">
        <v>1</v>
      </c>
      <c r="Q9" t="n">
        <v>1</v>
      </c>
    </row>
    <row r="10">
      <c r="A10" t="inlineStr">
        <is>
          <t>sub_09</t>
        </is>
      </c>
      <c r="B10" t="inlineStr">
        <is>
          <t>q_25</t>
        </is>
      </c>
      <c r="C10" t="inlineStr">
        <is>
          <t>HeldOut_Unseen_11Q</t>
        </is>
      </c>
      <c r="D10" t="inlineStr">
        <is>
          <t>INCORRECT</t>
        </is>
      </c>
      <c r="E10" t="inlineStr">
        <is>
          <t>Học sinh viết \( \frac{A'}{A} = \sqrt{0.92} \approx 0.9539 \) nhưng Lời giải mẫu là \( \frac{A'}{A} = \sqrt{0.92} \approx 0.9592 \).</t>
        </is>
      </c>
      <c r="F10" t="inlineStr">
        <is>
          <t>Sử dụng giá trị từ Lời giải mẫu, ta có \( \sqrt{0.92} \approx 0.9592 \).</t>
        </is>
      </c>
      <c r="G10" t="n">
        <v>1</v>
      </c>
      <c r="H10" t="n">
        <v>1</v>
      </c>
      <c r="I10" t="n">
        <v>2</v>
      </c>
      <c r="J10" t="inlineStr">
        <is>
          <t>INCORRECT</t>
        </is>
      </c>
      <c r="K10" t="inlineStr">
        <is>
          <t>L02</t>
        </is>
      </c>
      <c r="L10" t="inlineStr">
        <is>
          <t>sqrt(0,92) == 0,9539.</t>
        </is>
      </c>
      <c r="M10" t="inlineStr">
        <is>
          <t>IntraStep_Calc_Error (0.959166304662544 != 0.953900000000000, Numeric_Mismatch(diff=0.0052663,tol=5.50e-05))</t>
        </is>
      </c>
      <c r="N10" t="inlineStr">
        <is>
          <t>Dòng L02 có vấn đề. Theo công thức trong Lời giải chuẩn Stage 1, bạn cần tính tỉ số biên độ còn lại như sau: \( \frac{A'}{A} = \sqrt{\frac{W'}{W}} = \sqrt{0.92} \). Giá trị chính xác của \( \sqrt{0.92} \) là khoảng 0.9592, không phải 0.9539. Hãy thử tính lại giá trị của \( \sqrt{0.92} \) và xem kết quả có thay đổi không? ?</t>
        </is>
      </c>
      <c r="O10" t="n">
        <v>1</v>
      </c>
      <c r="P10" t="n">
        <v>1</v>
      </c>
      <c r="Q10" t="n">
        <v>1</v>
      </c>
    </row>
    <row r="11">
      <c r="A11" t="inlineStr">
        <is>
          <t>sub_10</t>
        </is>
      </c>
      <c r="B11" t="inlineStr">
        <is>
          <t>q_25</t>
        </is>
      </c>
      <c r="C11" t="inlineStr">
        <is>
          <t>HeldOut_Unseen_11Q</t>
        </is>
      </c>
      <c r="D11" t="inlineStr">
        <is>
          <t>INCORRECT</t>
        </is>
      </c>
      <c r="E11" t="inlineStr">
        <is>
          <t>Học sinh viết \( \frac{A'}{A} \approx 0.9583 \) nhưng Lời giải mẫu là \( \frac{A'}{A} \approx 0.9592 \).</t>
        </is>
      </c>
      <c r="F11" t="inlineStr">
        <is>
          <t>Sử dụng giá trị từ Lời giải mẫu, hãy thay đổi \( 0.9583 \) thành \( 0.9592 \).</t>
        </is>
      </c>
      <c r="G11" t="n">
        <v>1</v>
      </c>
      <c r="H11" t="n">
        <v>1</v>
      </c>
      <c r="I11" t="n">
        <v>2</v>
      </c>
      <c r="J11" t="inlineStr">
        <is>
          <t>INCORRECT</t>
        </is>
      </c>
      <c r="K11" t="inlineStr">
        <is>
          <t>L03</t>
        </is>
      </c>
      <c r="L11" t="inlineStr">
        <is>
          <t>sqrt(0,92) == 0,9583.</t>
        </is>
      </c>
      <c r="M11" t="inlineStr">
        <is>
          <t>IntraStep_Calc_Error (0.959166304662544 != 0.958300000000000, Numeric_Mismatch(diff=0.0008663,tol=5.50e-05))</t>
        </is>
      </c>
      <c r="N11" t="inlineStr">
        <is>
          <t>Dòng L03 có vấn đề. Theo lời giải chuẩn, bạn đã tính đúng rằng \( \frac{A'}{A} = \sqrt{0.92} \). Tuy nhiên, khi tính giá trị căn bậc hai của 0.92, bạn đã làm tròn sai. Giá trị chính xác của \( \sqrt{0.92} \) là khoảng 0.9592, không phải 0.9583. Điều này khiến phần trăm biên độ giảm đi không chính xác. Hãy thử tính lại \( \sqrt{0.92} \) và làm tròn đến 4 chữ số thập phân, sau đó tính phần trăm biên độ giảm đi?</t>
        </is>
      </c>
      <c r="O11" t="n">
        <v>1</v>
      </c>
      <c r="P11" t="n">
        <v>1</v>
      </c>
      <c r="Q11" t="n">
        <v>1</v>
      </c>
    </row>
    <row r="12">
      <c r="A12" t="inlineStr">
        <is>
          <t>sub_11</t>
        </is>
      </c>
      <c r="B12" t="inlineStr">
        <is>
          <t>q_26</t>
        </is>
      </c>
      <c r="C12" t="inlineStr">
        <is>
          <t>Calibration_11Q</t>
        </is>
      </c>
      <c r="D12" t="inlineStr">
        <is>
          <t>INCORRECT</t>
        </is>
      </c>
      <c r="E12" t="inlineStr">
        <is>
          <t>Học sinh viết \(\Delta t = t_1 + T = \frac{T}{6} + T = \frac{7T}{6} = \frac{7 \cdot 1}{6} = 1.167\) (s) nhưng Lời giải mẫu là \(\Delta t = t_1 + T = \frac{T}{6} + T = 0.167 + 1 = 1.167\) (s).</t>
        </is>
      </c>
      <c r="F12" t="inlineStr">
        <is>
          <t>Học sinh nên sử dụng giá trị \(t_1 = \frac{T}{6} = \frac{1}{6} \approx 0.167\) (s) thay vào công thức \(\Delta t = t_1 + T\).</t>
        </is>
      </c>
      <c r="G12" t="n">
        <v>0</v>
      </c>
      <c r="H12" t="n">
        <v>1</v>
      </c>
      <c r="I12" t="n">
        <v>1</v>
      </c>
      <c r="J12" t="inlineStr">
        <is>
          <t>INCORRECT</t>
        </is>
      </c>
      <c r="K12" t="inlineStr">
        <is>
          <t>L10</t>
        </is>
      </c>
      <c r="L12" t="inlineStr">
        <is>
          <t>31,5 / 1,167 == 27,19 (cm/s).</t>
        </is>
      </c>
      <c r="M12" t="inlineStr">
        <is>
          <t>IntraStep_Calc_Error (26.9922879177378 != 27.1900000000000, Numeric_Mismatch(diff=0.19771,tol=5.50e-03))</t>
        </is>
      </c>
      <c r="N12" t="inlineStr">
        <is>
          <t>Dòng L10: Tại đây, em đã tính tốc độ trung bình \( v_{\text{tb}} \) bằng cách chia quãng đường \( S = 31.5 \) cm cho thời gian \( \Delta t = 1.167 \) s, nhưng kết quả em được \( 27.19 \) cm/s thay vì \( 27 \) cm/s. Theo công thức của lời giải chuẩn, tốc độ trung bình \( v_{\text{tb}} \) được tính như sau:
\[ v_{\text{tb}} = \frac{S}{\Delta t} = \frac{31.5}{1.167} \approx 27 \text{ cm/s} \] Em đã làm tròn sai số. Hãy thử làm tròn kết quả của phép chia \( 31.5 \div 1.167 \) sao cho kết quả chính xác nhất có 2 chữ số thập phân?</t>
        </is>
      </c>
      <c r="O12" t="n">
        <v>1</v>
      </c>
      <c r="P12" t="n">
        <v>1</v>
      </c>
      <c r="Q12" t="n">
        <v>1</v>
      </c>
    </row>
    <row r="13">
      <c r="A13" t="inlineStr">
        <is>
          <t>sub_12</t>
        </is>
      </c>
      <c r="B13" t="inlineStr">
        <is>
          <t>q_26</t>
        </is>
      </c>
      <c r="C13" t="inlineStr">
        <is>
          <t>Calibration_11Q</t>
        </is>
      </c>
      <c r="D13" t="inlineStr">
        <is>
          <t>INCORRECT</t>
        </is>
      </c>
      <c r="E13" t="inlineStr">
        <is>
          <t>Học sinh viết \(\Delta t = \frac{7T}{6} = \frac{7 \cdot 1}{6} = \frac{7}{6} \text{ s}\) nhưng Lời giải mẫu là \(\Delta t = t_1 + T = \frac{T}{6} + T = \frac{1}{6} + 1 = 1.167 \text{ s}\).</t>
        </is>
      </c>
      <c r="F13" t="inlineStr">
        <is>
          <t>Theo Lời giải mẫu, thời gian \(\Delta t\) từ khi qua vị trí \(x_0\) đến khi gia tốc đạt giá trị cực tiểu lần thứ hai là \(t_1 + T = \frac{T}{6} + T = \frac{1}{6} + 1 = 1.167 \text{ s}\).</t>
        </is>
      </c>
      <c r="G13" t="n">
        <v>0</v>
      </c>
      <c r="H13" t="n">
        <v>1</v>
      </c>
      <c r="I13" t="n">
        <v>1</v>
      </c>
      <c r="J13" t="inlineStr">
        <is>
          <t>INCORRECT</t>
        </is>
      </c>
      <c r="K13" t="inlineStr">
        <is>
          <t>L10</t>
        </is>
      </c>
      <c r="L13" t="inlineStr">
        <is>
          <t>31,5 / 7/6 == 25,5 (cm/s).</t>
        </is>
      </c>
      <c r="M13" t="inlineStr">
        <is>
          <t>IntraStep_Calc_Error (27.0000000000000 != 25.5000000000000, Numeric_Mismatch(diff=1.5,tol=5.50e-02))</t>
        </is>
      </c>
      <c r="N13" t="inlineStr">
        <is>
          <t>Dòng L10 có lỗi vì học sinh đã làm tròn sai số trong phép chia. Theo công thức chuẩn, quãng đường \( S = 31.5 \) cm và thời gian \( \Delta t = \frac{7}{6} \) s. Khi tính tốc độ trung bình \( v_{\text{tb}} \), học sinh nên giữ nguyên số thập phân để tránh sai số: \[
v_{\text{tb}} = \frac{31.5}{\frac{7}{6}} = 31.5 \times \frac{6}{7} = 27 \text{ cm/s}
\] Học sinh cần chú ý giữ nguyên số thập phân trong phép chia để tránh sai số. Hãy thử tính lại và kiểm tra kết quả?</t>
        </is>
      </c>
      <c r="O13" t="n">
        <v>1</v>
      </c>
      <c r="P13" t="n">
        <v>1</v>
      </c>
      <c r="Q13" t="n">
        <v>1</v>
      </c>
    </row>
    <row r="14">
      <c r="A14" t="inlineStr">
        <is>
          <t>sub_13</t>
        </is>
      </c>
      <c r="B14" t="inlineStr">
        <is>
          <t>q_28</t>
        </is>
      </c>
      <c r="C14" t="inlineStr">
        <is>
          <t>HeldOut_Unseen_11Q</t>
        </is>
      </c>
      <c r="D14" t="inlineStr">
        <is>
          <t>INCORRECT</t>
        </is>
      </c>
      <c r="E14" t="inlineStr">
        <is>
          <t>Học sinh viết \(\omega = \frac{2\pi}{60} = \frac{\pi}{30} \text{ rad/s}\) và \(T = 60 \text{ s}\), nhưng Lời giải mẫu là \(\omega = \frac{200\pi}{60} = \frac{10\pi}{3} \text{ rad/s}\) và \(T = 0.6 \text{ s}\).</t>
        </is>
      </c>
      <c r="F14" t="inlineStr">
        <is>
          <t>Học sinh cần sử dụng công thức \(\omega = \frac{a_{\text{max}}}{v_{\text{max}}}\) với đơn vị thống nhất (cm/s và cm/s^2), và \(\omega = \frac{2\pi}{T}\) để tính đúng tần số góc và chu kỳ.</t>
        </is>
      </c>
      <c r="G14" t="n">
        <v>1</v>
      </c>
      <c r="H14" t="n">
        <v>1</v>
      </c>
      <c r="I14" t="n">
        <v>3</v>
      </c>
      <c r="J14" t="inlineStr">
        <is>
          <t>INCORRECT</t>
        </is>
      </c>
      <c r="K14" t="inlineStr">
        <is>
          <t>L01</t>
        </is>
      </c>
      <c r="L14" t="inlineStr">
        <is>
          <t>a_max / v_max == 2.pi / 60</t>
        </is>
      </c>
      <c r="M14" t="inlineStr">
        <is>
          <t>IntraStep_Calc_Error (10*pi/3 != pi/30, Numeric_Mismatch(diff=10.367,tol=1.00e-06))</t>
        </is>
      </c>
      <c r="N14" t="inlineStr">
        <is>
          <t>Dòng L01 có lỗi. Theo công thức trong Lời giải chuẩn Stage 1, tần số góc \(\omega\) được tính bằng cách chia gia tốc cực đại \(a_{\text{max}}\) cho vận tốc cực đại \(v_{\text{max}}\). Cụ thể, \(\omega = \frac{a_{\text{max}}}{v_{\text{max}}} = \frac{2\pi \text{ m/s}^2}{60 \text{ cm/s}} = \frac{2\pi \times 100 \text{ cm/s}^2}{60 \text{ cm/s}} = \frac{200\pi}{60} \text{ rad/s} = \frac{10\pi}{3} \text{ rad/s}\). Vì vậy, học sinh đã làm tròn sai hoặc bỏ qua đơn vị chuyển đổi, dẫn đến kết quả \(\omega = \frac{\pi}{30} \text{ rad/s}\) thay vì \(\omega = \frac{10\pi}{3} \text{ rad/s}\). Hãy kiểm tra lại phép tính và đảm bảo giữ nguyên đơn vị trong quá trình tính toán? ?</t>
        </is>
      </c>
      <c r="O14" t="n">
        <v>1</v>
      </c>
      <c r="P14" t="n">
        <v>1</v>
      </c>
      <c r="Q14" t="n">
        <v>1</v>
      </c>
    </row>
    <row r="15">
      <c r="A15" t="inlineStr">
        <is>
          <t>sub_14</t>
        </is>
      </c>
      <c r="B15" t="inlineStr">
        <is>
          <t>q_28</t>
        </is>
      </c>
      <c r="C15" t="inlineStr">
        <is>
          <t>HeldOut_Unseen_11Q</t>
        </is>
      </c>
      <c r="D15" t="inlineStr">
        <is>
          <t>INCORRECT</t>
        </is>
      </c>
      <c r="E15" t="inlineStr">
        <is>
          <t>Học sinh viết \(t = \frac{5T}{12}\) nhưng Lời giải mẫu là \(t = \frac{T}{12} + \frac{T}{4} + \frac{T}{12} = \frac{5T}{12}\). Tuy nhiên, học sinh đã tính sai tổng thời gian di chuyển, kết quả là \(t = 0.3\) s thay vì \(t = 0.25\) s.</t>
        </is>
      </c>
      <c r="F15" t="inlineStr">
        <is>
          <t>Hãy tính tổng thời gian di chuyển theo từng đoạn như trong Lời giải mẫu: \(t = \frac{T}{12} + \frac{T}{4} + \frac{T}{12} = \frac{5T}{12}\). Thay số \(T = 0.6\) s vào để được \(t = 0.25\) s.</t>
        </is>
      </c>
      <c r="G15" t="n">
        <v>1</v>
      </c>
      <c r="H15" t="n">
        <v>1</v>
      </c>
      <c r="I15" t="n">
        <v>3</v>
      </c>
      <c r="J15" t="inlineStr">
        <is>
          <t>INCORRECT</t>
        </is>
      </c>
      <c r="K15" t="inlineStr">
        <is>
          <t>L11</t>
        </is>
      </c>
      <c r="L15" t="inlineStr">
        <is>
          <t>\frac{5 \times 0.6}{12} == \frac{3}{10}</t>
        </is>
      </c>
      <c r="M15" t="inlineStr">
        <is>
          <t>IntraStep_Calc_Error (0.250000000000000 != 3/10, Numeric_Mismatch(diff=0.05,tol=1.00e-06))</t>
        </is>
      </c>
      <c r="N15" t="inlineStr">
        <is>
          <t>Dòng L11: Em đã tính tổng thời gian di chuyển là \(\frac{5 \times 0.6}{12} = \frac{3}{10} = 0.3\) s. Tuy nhiên, theo công thức Lời giải chuẩn, tổng thời gian di chuyển là \(\frac{5T}{12}\). Hãy kiểm tra lại phép tính của em, đặc biệt là cách em chia 5 cho 12 và nhân với 0.6. Tại sao em lại được \(\frac{3}{10}\) thay vì \(\frac{5}{12}\)? ?</t>
        </is>
      </c>
      <c r="O15" t="n">
        <v>1</v>
      </c>
      <c r="P15" t="n">
        <v>1</v>
      </c>
      <c r="Q15" t="n">
        <v>1</v>
      </c>
    </row>
    <row r="16">
      <c r="A16" t="inlineStr">
        <is>
          <t>sub_15</t>
        </is>
      </c>
      <c r="B16" t="inlineStr">
        <is>
          <t>q_29</t>
        </is>
      </c>
      <c r="C16" t="inlineStr">
        <is>
          <t>Calibration_11Q</t>
        </is>
      </c>
      <c r="D16" t="inlineStr">
        <is>
          <t>INCORRECT</t>
        </is>
      </c>
      <c r="E16" t="inlineStr">
        <is>
          <t>Học sinh viết \(\Delta\phi = \frac{3\pi}{2}\) rad nhưng Lời giải mẫu là \(\Delta\phi = \frac{7\pi}{6}\) rad.</t>
        </is>
      </c>
      <c r="F16" t="inlineStr">
        <is>
          <t>Học sinh cần tính góc quay nhỏ nhất từ pha ban đầu \(\phi_1 = -\frac{\pi}{3}\) đến pha đích \(\phi_2 = \frac{5\pi}{6}\), nên \(\Delta\phi = \frac{5\pi}{6} - \left(-\frac{\pi}{3}\right) = \frac{7\pi}{6}\) rad.</t>
        </is>
      </c>
      <c r="G16" t="n">
        <v>0</v>
      </c>
      <c r="H16" t="n">
        <v>1</v>
      </c>
      <c r="I16" t="n">
        <v>2</v>
      </c>
      <c r="J16" t="inlineStr">
        <is>
          <t>INCORRECT</t>
        </is>
      </c>
      <c r="K16" t="inlineStr">
        <is>
          <t>L02</t>
        </is>
      </c>
      <c r="L16" t="inlineStr">
        <is>
          <t>phi1 == -π/6 rad.</t>
        </is>
      </c>
      <c r="M16" t="inlineStr">
        <is>
          <t>Canonical_State_Mismatch (phi1=-pi/6 vs gold=-pi/3)</t>
        </is>
      </c>
      <c r="N16" t="inlineStr">
        <is>
          <t>L02: - Pha đầu: x1 = 3 cm = A/2 và đi theo chiều dương (v &gt; 0) nên pha đầu phi1 = -π/6 rad. Bản chất lỗi ở đây là học sinh đã tính sai giá trị pha đầu phi1. Theo công thức, khi \( x_1 = \frac{A}{2} \) và chuyển động theo chiều dương, pha ban đầu phi1 phải là \( -\arccos\left(\frac{x_1}{A}\right) \). Thay số vào, ta có \( \phi_1 = -\arccos\left(\frac{3}{6}\right) = -\arccos\left(\frac{1}{2}\right) = -\frac{\pi}{3} \) rad, không phải là -π/6 rad. Hãy thử tính lại giá trị pha đầu phi1 đúng theo công thức và xem kết quả như thế nào?</t>
        </is>
      </c>
      <c r="O16" t="n">
        <v>1</v>
      </c>
      <c r="P16" t="n">
        <v>1</v>
      </c>
      <c r="Q16" t="n">
        <v>1</v>
      </c>
    </row>
    <row r="17">
      <c r="A17" t="inlineStr">
        <is>
          <t>sub_16</t>
        </is>
      </c>
      <c r="B17" t="inlineStr">
        <is>
          <t>q_30</t>
        </is>
      </c>
      <c r="C17" t="inlineStr">
        <is>
          <t>HeldOut_Unseen_11Q</t>
        </is>
      </c>
      <c r="D17" t="inlineStr">
        <is>
          <t>INCORRECT</t>
        </is>
      </c>
      <c r="E17" t="inlineStr">
        <is>
          <t>Học sinh viết t1 = 1,047 / 5π ≈ 0,066 s nhưng Lời giải mẫu là t1 = 1/5 = 0,2 s.</t>
        </is>
      </c>
      <c r="F17" t="inlineStr">
        <is>
          <t>Sử dụng giá trị góc quay $\Delta \phi = \pi$ rad và tần số góc $\omega = 5\pi$ rad/s trong Lời giải mẫu, học sinh nên tính thời gian lẻ $t_1$ như sau: $t_1 = \frac{\Delta \phi}{\omega} = \frac{\pi}{5\pi} = \frac{1}{5} = 0,2$ s.</t>
        </is>
      </c>
      <c r="G17" t="n">
        <v>0</v>
      </c>
      <c r="H17" t="n">
        <v>1</v>
      </c>
      <c r="I17" t="n">
        <v>2</v>
      </c>
      <c r="J17" t="inlineStr">
        <is>
          <t>INCORRECT</t>
        </is>
      </c>
      <c r="K17" t="inlineStr">
        <is>
          <t>L06</t>
        </is>
      </c>
      <c r="L17" t="inlineStr">
        <is>
          <t>2π/3 + π/3 == 1,047 rad.</t>
        </is>
      </c>
      <c r="M17" t="inlineStr">
        <is>
          <t>IntraStep_Calc_Error (pi != 1.04700000000000, Numeric_Mismatch(diff=2.0946,tol=5.50e-04))</t>
        </is>
      </c>
      <c r="N17" t="inlineStr">
        <is>
          <t>Dòng L06 có lỗi tại cách tính góc quay \(\Delta \phi\). Theo công thức chuẩn, bạn nên cộng các góc như sau: \[
\Delta \phi = \phi - \phi_0 = \frac{2\pi}{3} - \left(-\frac{\pi}{3}\right) = \frac{2\pi}{3} + \frac{\pi}{3} = \pi \text{ rad}
\] Tuy nhiên, học sinh đã tính sai thành \(\frac{2\pi}{3} + \frac{\pi}{3} = 1.047\) rad. Đây là kết quả của việc làm tròn sai hoặc sử dụng giá trị số học thay vì biểu thức chính xác \(\pi\). Hãy thử tính lại \(\Delta \phi\) đúng theo công thức và xem kết quả là bao nhiêu?</t>
        </is>
      </c>
      <c r="O17" t="n">
        <v>1</v>
      </c>
      <c r="P17" t="n">
        <v>1</v>
      </c>
      <c r="Q17" t="n">
        <v>1</v>
      </c>
    </row>
    <row r="18">
      <c r="A18" t="inlineStr">
        <is>
          <t>sub_17</t>
        </is>
      </c>
      <c r="B18" t="inlineStr">
        <is>
          <t>q_31</t>
        </is>
      </c>
      <c r="C18" t="inlineStr">
        <is>
          <t>Calibration_11Q</t>
        </is>
      </c>
      <c r="D18" t="inlineStr">
        <is>
          <t>INCORRECT</t>
        </is>
      </c>
      <c r="E18" t="inlineStr">
        <is>
          <t>Học sinh viết \( S = A(2 - \frac{\sqrt{3}}{2}) \) nhưng Lời giải mẫu là \( S = A(2 - \sqrt{3}) \).</t>
        </is>
      </c>
      <c r="F18" t="inlineStr">
        <is>
          <t>Sử dụng công thức \( S = A(2 - \sqrt{3}) \) thay vì \( S = A(2 - \frac{\sqrt{3}}{2}) \).</t>
        </is>
      </c>
      <c r="G18" t="n">
        <v>1</v>
      </c>
      <c r="H18" t="n">
        <v>1</v>
      </c>
      <c r="I18" t="n">
        <v>2</v>
      </c>
      <c r="J18" t="inlineStr">
        <is>
          <t>INCORRECT</t>
        </is>
      </c>
      <c r="K18" t="inlineStr">
        <is>
          <t>L06</t>
        </is>
      </c>
      <c r="L18" t="inlineStr">
        <is>
          <t>S == A(2 - \frac{\sqrt{3}}{2})</t>
        </is>
      </c>
      <c r="M18" t="inlineStr">
        <is>
          <t>Canonical_State_Mismatch (S=6*(2 - sqrt(3)/2)/(2 - sqrt(3)) vs gold=6)</t>
        </is>
      </c>
      <c r="N18" t="inlineStr">
        <is>
          <t>Dòng L06 có lỗi. Học sinh đã viết sai biểu thức quãng đường \( S \) tại thời điểm \( t_3 \). Theo lời giải chuẩn, quãng đường \( S \) từ \( t_2 \) đến \( t_3 \) là \( 6 \) cm, và nó được tính từ \( x_2 = \frac{A\sqrt{3}}{2} \) đến biên \( A \), sau đó quay lại \( x_2 \). Do đó, quãng đường \( S \) phải là \( 2 \left( A - \frac{A\sqrt{3}}{2} \right) = A \left( 2 - \sqrt{3} \right) \). Học sinh đã nhầm lẫn biểu thức này thành \( S = A \left( 2 - \frac{\sqrt{3}}{2} \right) \). Hãy kiểm tra lại công thức và tính lại giá trị \( A \)?</t>
        </is>
      </c>
      <c r="O18" t="n">
        <v>1</v>
      </c>
      <c r="P18" t="n">
        <v>1</v>
      </c>
      <c r="Q18" t="n">
        <v>1</v>
      </c>
    </row>
    <row r="19">
      <c r="A19" t="inlineStr">
        <is>
          <t>sub_18</t>
        </is>
      </c>
      <c r="B19" t="inlineStr">
        <is>
          <t>q_31</t>
        </is>
      </c>
      <c r="C19" t="inlineStr">
        <is>
          <t>Calibration_11Q</t>
        </is>
      </c>
      <c r="D19" t="inlineStr">
        <is>
          <t>INCORRECT</t>
        </is>
      </c>
      <c r="E19" t="inlineStr">
        <is>
          <t>Học sinh viết Chu kỳ \( T = 0,5 \) s và tần số góc \( \omega = 4\pi \) rad/s, nhưng Lời giải mẫu là Chu kỳ \( T = 1 \) s và tần số góc \( \omega = 2\pi \) rad/s.</t>
        </is>
      </c>
      <c r="F19" t="inlineStr">
        <is>
          <t>Chu kỳ \( T \) phải là 1 s và tần số góc \( \omega \) phải là \( 2\pi \) rad/s.</t>
        </is>
      </c>
      <c r="G19" t="n">
        <v>1</v>
      </c>
      <c r="H19" t="n">
        <v>1</v>
      </c>
      <c r="I19" t="n">
        <v>2</v>
      </c>
      <c r="J19" t="inlineStr">
        <is>
          <t>INCORRECT</t>
        </is>
      </c>
      <c r="K19" t="inlineStr">
        <is>
          <t>L03</t>
        </is>
      </c>
      <c r="L19" t="inlineStr">
        <is>
          <t>T == 0,5 s</t>
        </is>
      </c>
      <c r="M19" t="inlineStr">
        <is>
          <t>Canonical_State_Mismatch (T=0.500000000000000 vs gold=1)</t>
        </is>
      </c>
      <c r="N19" t="inlineStr">
        <is>
          <t>Dòng L03 có vấn đề. Theo lời giải chuẩn, thời gian từ \( t_1 \) đến \( t_2 \) là \( \frac{T}{6} \), và từ đó ta suy ra chu kỳ \( T = 6 \times \frac{1}{6} = 1 \) s. Học sinh đã nhầm lẫn và tính chu kỳ \( T \) thành 0,5 s, dẫn đến sai sót. Hãy kiểm tra lại chu kỳ \( T \) và tần số góc \( \omega \) dựa trên thời gian từ \( t_1 \) đến \( t_2 \)?</t>
        </is>
      </c>
      <c r="O19" t="n">
        <v>1</v>
      </c>
      <c r="P19" t="n">
        <v>1</v>
      </c>
      <c r="Q19" t="n">
        <v>1</v>
      </c>
    </row>
    <row r="20">
      <c r="A20" t="inlineStr">
        <is>
          <t>sub_19</t>
        </is>
      </c>
      <c r="B20" t="inlineStr">
        <is>
          <t>q_32</t>
        </is>
      </c>
      <c r="C20" t="inlineStr">
        <is>
          <t>HeldOut_Unseen_11Q</t>
        </is>
      </c>
      <c r="D20" t="inlineStr">
        <is>
          <t>INCORRECT</t>
        </is>
      </c>
      <c r="E20" t="inlineStr">
        <is>
          <t>Học sinh viết \( t = \frac{T}{4} \) nhưng Lời giải mẫu là \( t = \frac{T}{8} \).</t>
        </is>
      </c>
      <c r="F20" t="inlineStr">
        <is>
          <t>Theo Lời giải mẫu, thời điểm đầu tiên mà động năng và thế năng bằng nhau là \( \frac{1}{8} T \). Hãy sử dụng công thức \( \Delta t = \frac{\Delta \phi}{2\pi} \cdot T \) với \( \Delta \phi = \frac{\pi}{4} \) để tính lại thời gian.</t>
        </is>
      </c>
      <c r="G20" t="n">
        <v>0</v>
      </c>
      <c r="H20" t="n">
        <v>1</v>
      </c>
      <c r="I20" t="n">
        <v>2</v>
      </c>
      <c r="J20" t="inlineStr">
        <is>
          <t>INCORRECT</t>
        </is>
      </c>
      <c r="K20" t="inlineStr">
        <is>
          <t>L05</t>
        </is>
      </c>
      <c r="L20" t="inlineStr">
        <is>
          <t>Wd == \frac{1}{2} k x^{2}</t>
        </is>
      </c>
      <c r="M20" t="inlineStr">
        <is>
          <t>Physical_Law_Error (Symbolic_Mismatch)</t>
        </is>
      </c>
      <c r="N20" t="inlineStr">
        <is>
          <t>Dòng L05: Wđ = \(\frac{1}{2} k x^{2}\) Biểu thức này không chính xác. Theo lời giải chuẩn Stage 1, khi động năng bằng thế năng, ta có:
\[ \frac{1}{2} m v^2 = \frac{1}{2} k x^2 \]
Nhưng học sinh đã bỏ qua khối lượng \( m \) và sử dụng công thức thế năng thay cho công thức động năng. Điều này làm sai lệch biểu thức. Hãy thử lại với công thức động năng đúng là \(\frac{1}{2} m v^2\) và so sánh với công thức thế năng \(\frac{1}{2} k x^2\). Bạn có thể làm gì để hai biểu thức này trở nên tương đương? ?</t>
        </is>
      </c>
      <c r="O20" t="n">
        <v>1</v>
      </c>
      <c r="P20" t="n">
        <v>1</v>
      </c>
      <c r="Q20" t="n">
        <v>1</v>
      </c>
    </row>
    <row r="21">
      <c r="A21" t="inlineStr">
        <is>
          <t>sub_20</t>
        </is>
      </c>
      <c r="B21" t="inlineStr">
        <is>
          <t>q_33</t>
        </is>
      </c>
      <c r="C21" t="inlineStr">
        <is>
          <t>Calibration_11Q</t>
        </is>
      </c>
      <c r="D21" t="inlineStr">
        <is>
          <t>INCORRECT</t>
        </is>
      </c>
      <c r="E21" t="inlineStr">
        <is>
          <t>Học sinh viết \(\left(\frac{10\pi}{10\sqrt{2}\pi}\right)^2 + \left(\frac{a}{100\pi^2 \sqrt{2}}\right)^2 = 1\) nhưng Lời giải mẫu là \(\left(\frac{v}{v_{\text{max}}}\right)^2 + \left(\frac{a}{a_{\text{max}}}\right)^2 = 1\).</t>
        </is>
      </c>
      <c r="F21" t="inlineStr">
        <is>
          <t>Hãy sử dụng công thức \(\left(\frac{v}{v_{\text{max}}}\right)^2 + \left(\frac{a}{a_{\text{max}}}\right)^2 = 1\) từ Lời giải mẫu để tiếp tục tính toán.</t>
        </is>
      </c>
      <c r="G21" t="n">
        <v>0</v>
      </c>
      <c r="H21" t="n">
        <v>1</v>
      </c>
      <c r="I21" t="n">
        <v>1</v>
      </c>
      <c r="J21" t="inlineStr">
        <is>
          <t>INCORRECT</t>
        </is>
      </c>
      <c r="K21" t="inlineStr">
        <is>
          <t>L06</t>
        </is>
      </c>
      <c r="L21" t="inlineStr">
        <is>
          <t>1/4 + (a / 100π^2 . √2)^2 == 1</t>
        </is>
      </c>
      <c r="M21" t="inlineStr">
        <is>
          <t>IntraStep_Calc_Error (9/4 != 1, Numeric_Mismatch(diff=1.25,tol=5.50e-01))</t>
        </is>
      </c>
      <c r="N21" t="inlineStr">
        <is>
          <t>Dòng L06 có lỗi ở chỗ học sinh đã làm tròn sai số trong quá trình tính toán. Theo công thức chuẩn, ta có: \[
\left(\frac{v}{v_{\text{max}}}\right)^2 = \left(\frac{10\pi}{10\pi \sqrt{2}}\right)^2 = \left(\frac{1}{\sqrt{2}}\right)^2 = \frac{1}{2}
\] Sau đó, ta thay vào công thức gia tốc: \[
|a| = a_{\text{max}} \sqrt{1 - \left(\frac{1}{2}\right)} = 100\pi^2 \sqrt{2} \sqrt{\frac{1}{2}} = 100\pi^2
\] Học sinh nên chú ý giữ nguyên giá trị chính xác trong quá trình tính toán, không nên làm tròn quá sớm. Vậy, tại sao bạn không thử tính lại biểu thức \(100\pi^2\) mà không làm tròn cho đến khi cần thiết?</t>
        </is>
      </c>
      <c r="O21" t="n">
        <v>1</v>
      </c>
      <c r="P21" t="n">
        <v>1</v>
      </c>
      <c r="Q21" t="n">
        <v>1</v>
      </c>
    </row>
    <row r="22">
      <c r="A22" t="inlineStr">
        <is>
          <t>sub_21</t>
        </is>
      </c>
      <c r="B22" t="inlineStr">
        <is>
          <t>q_33</t>
        </is>
      </c>
      <c r="C22" t="inlineStr">
        <is>
          <t>Calibration_11Q</t>
        </is>
      </c>
      <c r="D22" t="inlineStr">
        <is>
          <t>INCORRECT</t>
        </is>
      </c>
      <c r="E22" t="inlineStr">
        <is>
          <t>Học sinh viết \(|a| = 100\pi^2\sqrt{2} / \sqrt{2} = 100\pi^2\) nhưng Lời giải mẫu là \(|a| = 100\pi^2\).</t>
        </is>
      </c>
      <c r="F22" t="inlineStr">
        <is>
          <t>Học sinh đã làm đúng đến bước này, nên không cần sửa. Tiếp tục sử dụng giá trị \(\pi^2 = 10\) từ Lời giải mẫu để tính toán.</t>
        </is>
      </c>
      <c r="G22" t="n">
        <v>0</v>
      </c>
      <c r="H22" t="n">
        <v>0</v>
      </c>
      <c r="I22" t="n">
        <v>1</v>
      </c>
      <c r="J22" t="inlineStr">
        <is>
          <t>INCORRECT</t>
        </is>
      </c>
      <c r="K22" t="inlineStr">
        <is>
          <t>L09</t>
        </is>
      </c>
      <c r="L22" t="inlineStr">
        <is>
          <t>|a| == 100 . 9,87 . 1,41</t>
        </is>
      </c>
      <c r="M22" t="inlineStr">
        <is>
          <t>IntraStep_Calc_Error (100*pi**2 != 1391.67000000000, Numeric_Mismatch(diff=404.71,tol=1.00e-06))</t>
        </is>
      </c>
      <c r="N22" t="inlineStr">
        <is>
          <t>Dòng L09 có lỗi do phép tính số học bị sai. Theo công thức chuẩn, gia tốc \(|a|\) được tính như sau: \[ |a| = 100\pi^2 \] Học sinh đã thay thế \(\pi^2\) bằng 9,87 và \(\sqrt{2}\) bằng 1,41, nhưng giá trị chính xác của \(\pi^2\) là khoảng 9,87, và \(\sqrt{2}\) là khoảng 1,414. Do đó, phép tính nên giữ nguyên biểu thức \(\pi^2\) mà không cần làm tròn. Hãy thử tính lại \(100\pi^2\) mà không làm tròn \(\pi^2\) và xem kết quả như thế nào?</t>
        </is>
      </c>
      <c r="O22" t="n">
        <v>1</v>
      </c>
      <c r="P22" t="n">
        <v>1</v>
      </c>
      <c r="Q22" t="n">
        <v>1</v>
      </c>
    </row>
    <row r="23">
      <c r="A23" t="inlineStr">
        <is>
          <t>sub_22</t>
        </is>
      </c>
      <c r="B23" t="inlineStr">
        <is>
          <t>q_34</t>
        </is>
      </c>
      <c r="C23" t="inlineStr">
        <is>
          <t>HeldOut_Unseen_11Q</t>
        </is>
      </c>
      <c r="D23" t="inlineStr">
        <is>
          <t>INCORRECT</t>
        </is>
      </c>
      <c r="E23" t="inlineStr">
        <is>
          <t>Học sinh viết \(\omega = \frac{vx}{\sqrt{75}}\) nhưng Lời giải mẫu là \(\omega = 4\pi\).</t>
        </is>
      </c>
      <c r="F23" t="inlineStr">
        <is>
          <t>Sử dụng công thức \(\omega \cdot \frac{A}{2} = 20\pi\sqrt{3}\) từ Lời giải mẫu, học sinh có thể tính \(\omega = 4\pi\).</t>
        </is>
      </c>
      <c r="G23" t="n">
        <v>0</v>
      </c>
      <c r="H23" t="n">
        <v>0</v>
      </c>
      <c r="I23" t="n">
        <v>1</v>
      </c>
      <c r="J23" t="inlineStr">
        <is>
          <t>INCORRECT</t>
        </is>
      </c>
      <c r="K23" t="inlineStr">
        <is>
          <t>L13</t>
        </is>
      </c>
      <c r="L23" t="inlineStr">
        <is>
          <t>2π * √75 / (20π√3) == π * √75 / 10</t>
        </is>
      </c>
      <c r="M23" t="inlineStr">
        <is>
          <t>IntraStep_Calc_Error (1/2 != sqrt(3)*pi/2, Numeric_Mismatch(diff=2.2207,tol=1.00e-06))</t>
        </is>
      </c>
      <c r="N23" t="inlineStr">
        <is>
          <t>Dòng L13: Em đã tính chu kì \( T \) như sau: \( T = \frac{2\pi \cdot \sqrt{75}}{20\pi\sqrt{3}} \). Em đã rút gọn biểu thức này thành \( T = \frac{\pi \cdot \sqrt{75}}{10} \approx 1.96 \, \text{s} \). Theo công thức của lời giải chuẩn, em đã làm tròn sai ở đây. Biểu thức \( \frac{2\pi \cdot \sqrt{75}}{20\pi\sqrt{3}} \) có thể rút gọn thành \( \frac{\sqrt{75}}{10\sqrt{3}} \). Khi rút gọn, em cần giữ nguyên dạng căn bậc hai để tránh làm tròn sai. Thực tế, \( \sqrt{75} = \sqrt{25 \cdot 3} = 5\sqrt{3} \), nên biểu thức trở thành \( \frac{5\sqrt{3}}{10\sqrt{3}} = \frac{5}{10} = \frac{1}{2} \). Vậy, chu kì \( T \) đúng là \( \frac{1}{2} \, \text{s} \). Em hãy thử tính lại và kiểm tra xem kết quả có đúng không?</t>
        </is>
      </c>
      <c r="O23" t="n">
        <v>1</v>
      </c>
      <c r="P23" t="n">
        <v>1</v>
      </c>
      <c r="Q23" t="n">
        <v>1</v>
      </c>
    </row>
    <row r="24">
      <c r="A24" t="inlineStr">
        <is>
          <t>sub_23</t>
        </is>
      </c>
      <c r="B24" t="inlineStr">
        <is>
          <t>q_35</t>
        </is>
      </c>
      <c r="C24" t="inlineStr">
        <is>
          <t>Calibration_11Q</t>
        </is>
      </c>
      <c r="D24" t="inlineStr">
        <is>
          <t>INCORRECT</t>
        </is>
      </c>
      <c r="E24" t="inlineStr">
        <is>
          <t>Học sinh viết \(\omega = \sqrt{\frac{9}{3600}} = \sqrt{\frac{1}{400}} = \frac{1}{20} \text{ rad/s}\) nhưng Lời giải mẫu là \(\omega = \sqrt{\frac{3600}{9}} = \sqrt{400} = 20 \text{ rad/s}\).</t>
        </is>
      </c>
      <c r="F24" t="inlineStr">
        <is>
          <t>Học sinh cần tính tần số góc \(\omega\) đúng như trong Lời giải mẫu: \(\omega = \sqrt{\frac{v_1^2 - v_2^2}{x_2^2 - x_1^2}} = \sqrt{\frac{3600}{9}} = 20 \text{ rad/s}\).</t>
        </is>
      </c>
      <c r="G24" t="n">
        <v>1</v>
      </c>
      <c r="H24" t="n">
        <v>1</v>
      </c>
      <c r="I24" t="n">
        <v>3</v>
      </c>
      <c r="J24" t="inlineStr">
        <is>
          <t>INCORRECT</t>
        </is>
      </c>
      <c r="K24" t="inlineStr">
        <is>
          <t>L09</t>
        </is>
      </c>
      <c r="L24" t="inlineStr">
        <is>
          <t>\omega == \sqrt{\frac{x_2^2 - x_1^2}{v_1^2 - v_2^2}}</t>
        </is>
      </c>
      <c r="M24" t="inlineStr">
        <is>
          <t>Canonical_State_Mismatch (omega=1/20 vs gold=20)</t>
        </is>
      </c>
      <c r="N24" t="inlineStr">
        <is>
          <t>Dòng L09 có vấn đề. Học sinh đã viết sai biểu thức tần số góc \(\omega\). Theo lời giải chuẩn, công thức để tính tần số góc \(\omega\) là:
\[ \omega = \sqrt{\frac{v_1^2 - v_2^2}{x_2^2 - x_1^2}} \]
Trong khi học sinh đã viết:
\[ \omega = \sqrt{\frac{x_2^2 - x_1^2}{v_1^2 - v_2^2}} \]
Đây là ngược lại so với công thức chuẩn. Hãy kiểm tra lại công thức và tính lại \(\omega\) đúng cách. Bạn có thể làm gì để sửa lại công thức này?</t>
        </is>
      </c>
      <c r="O24" t="n">
        <v>1</v>
      </c>
      <c r="P24" t="n">
        <v>1</v>
      </c>
      <c r="Q24" t="n">
        <v>1</v>
      </c>
    </row>
    <row r="25">
      <c r="A25" t="inlineStr">
        <is>
          <t>sub_24</t>
        </is>
      </c>
      <c r="B25" t="inlineStr">
        <is>
          <t>q_35</t>
        </is>
      </c>
      <c r="C25" t="inlineStr">
        <is>
          <t>Calibration_11Q</t>
        </is>
      </c>
      <c r="D25" t="inlineStr">
        <is>
          <t>INCORRECT</t>
        </is>
      </c>
      <c r="E25" t="inlineStr">
        <is>
          <t>Học sinh viết \( A^2 = 9 + \frac{9}{4} = \frac{45}{4} \) nhưng Lời giải mẫu là \( A^2 = 9 + 27 = 36 \).</t>
        </is>
      </c>
      <c r="F25" t="inlineStr">
        <is>
          <t>Học sinh nên tiếp tục tính \( A \) như sau: \( A^2 = 9 + 27 = 36 \), do đó \( A = \sqrt{36} = 6 \, \text{cm} \).</t>
        </is>
      </c>
      <c r="G25" t="n">
        <v>1</v>
      </c>
      <c r="H25" t="n">
        <v>1</v>
      </c>
      <c r="I25" t="n">
        <v>3</v>
      </c>
      <c r="J25" t="inlineStr">
        <is>
          <t>INCORRECT</t>
        </is>
      </c>
      <c r="K25" t="inlineStr">
        <is>
          <t>L08</t>
        </is>
      </c>
      <c r="L25" t="inlineStr">
        <is>
          <t>(-60.sqrt(3) / 20)^2 == 900 / 400</t>
        </is>
      </c>
      <c r="M25" t="inlineStr">
        <is>
          <t>IntraStep_Calc_Error (27 != 9/4, Numeric_Mismatch(diff=24.75,tol=1.00e-06))</t>
        </is>
      </c>
      <c r="N25" t="inlineStr">
        <is>
          <t>Dòng L08: Em đã tính \((-60\sqrt{3} / 20)^2\) và kết quả là \(900 / 400\), nhưng thực tế giá trị này phải là 27. Hãy kiểm tra lại phép tính này, em nhé. Theo công thức, ta có: \[
\left(\frac{-60\sqrt{3}}{20}\right)^2 = \left(-3\sqrt{3}\right)^2 = 9 \cdot 3 = 27
\] Em thử tính lại xem sao?</t>
        </is>
      </c>
      <c r="O25" t="n">
        <v>1</v>
      </c>
      <c r="P25" t="n">
        <v>1</v>
      </c>
      <c r="Q25" t="n">
        <v>1</v>
      </c>
    </row>
    <row r="26">
      <c r="A26" t="inlineStr">
        <is>
          <t>sub_25</t>
        </is>
      </c>
      <c r="B26" t="inlineStr">
        <is>
          <t>q_36</t>
        </is>
      </c>
      <c r="C26" t="inlineStr">
        <is>
          <t>HeldOut_Unseen_11Q</t>
        </is>
      </c>
      <c r="D26" t="inlineStr">
        <is>
          <t>INCORRECT</t>
        </is>
      </c>
      <c r="E26" t="inlineStr">
        <is>
          <t>Học sinh viết \( x = -\frac{1}{2}A \) nhưng Lời giải mẫu là \( x = \frac{A}{2} \).</t>
        </is>
      </c>
      <c r="F26" t="inlineStr">
        <is>
          <t>Học sinh nên sử dụng giá trị \( x = \frac{A}{2} \) thay vì \( x = -\frac{1}{2}A \) để tìm thời gian ngắn nhất.</t>
        </is>
      </c>
      <c r="G26" t="n">
        <v>1</v>
      </c>
      <c r="H26" t="n">
        <v>1</v>
      </c>
      <c r="I26" t="n">
        <v>2</v>
      </c>
      <c r="J26" t="inlineStr">
        <is>
          <t>INCORRECT</t>
        </is>
      </c>
      <c r="K26" t="inlineStr">
        <is>
          <t>L25</t>
        </is>
      </c>
      <c r="L26" t="inlineStr">
        <is>
          <t>ωt == π</t>
        </is>
      </c>
      <c r="M26" t="inlineStr">
        <is>
          <t>IntraStep_Calc_Error (pi/3 != pi, Numeric_Mismatch(diff=2.0944,tol=1.00e-06))</t>
        </is>
      </c>
      <c r="N26" t="inlineStr">
        <is>
          <t>Dòng L25: ωt == π Trong công thức \( \cos(4\pi t) = \frac{1}{2} \), các giá trị của \( t \) mà \( \cos \) bằng \(\frac{1}{2}\) là \( \frac{\pi}{3} \) và \( \frac{5\pi}{3} \). Tuy nhiên, bạn đã viết \( \omega t = \pi \), dẫn đến kết quả \( t = \frac{1}{4} \) s, trong khi giá trị đúng là \( t = \frac{\pi}{3 \cdot 4\pi} = \frac{1}{12} \) s. Điều này xuất phát từ việc bạn đã nhầm lẫn giữa các giá trị của \( \theta \) mà \( \cos \theta = \frac{1}{2} \). Hãy thử lại với \( \omega t = \frac{\pi}{3} \) và xem kết quả như thế nào?</t>
        </is>
      </c>
      <c r="O26" t="n">
        <v>1</v>
      </c>
      <c r="P26" t="n">
        <v>1</v>
      </c>
      <c r="Q26" t="n">
        <v>1</v>
      </c>
    </row>
    <row r="27">
      <c r="A27" t="inlineStr">
        <is>
          <t>sub_26</t>
        </is>
      </c>
      <c r="B27" t="inlineStr">
        <is>
          <t>q_37</t>
        </is>
      </c>
      <c r="C27" t="inlineStr">
        <is>
          <t>Calibration_11Q</t>
        </is>
      </c>
      <c r="D27" t="inlineStr">
        <is>
          <t>INCORRECT</t>
        </is>
      </c>
      <c r="E27" t="inlineStr">
        <is>
          <t>Học sinh viết \(A = \frac{0.6 \times \sqrt{2}}{10}\) nhưng Lời giải mẫu là \(A = \frac{0.6 \times \sqrt{2}}{10.0}\).</t>
        </is>
      </c>
      <c r="F27" t="inlineStr">
        <is>
          <t>Học sinh nên giữ nguyên số thập phân của tần số góc, tức là \(A = \frac{0.6 \times \sqrt{2}}{10.0}\).</t>
        </is>
      </c>
      <c r="G27" t="n">
        <v>0</v>
      </c>
      <c r="H27" t="n">
        <v>0</v>
      </c>
      <c r="I27" t="n">
        <v>1</v>
      </c>
      <c r="J27" t="inlineStr">
        <is>
          <t>INCORRECT</t>
        </is>
      </c>
      <c r="K27" t="inlineStr">
        <is>
          <t>L04</t>
        </is>
      </c>
      <c r="L27" t="inlineStr">
        <is>
          <t>(0,6 * sqrt(2)) / 10 == 0,077 (m).</t>
        </is>
      </c>
      <c r="M27" t="inlineStr">
        <is>
          <t>IntraStep_Calc_Error (0.06*sqrt(2) != 0.0770000000000000, Numeric_Mismatch(diff=0.0078528,tol=5.50e-04))</t>
        </is>
      </c>
      <c r="N27" t="inlineStr">
        <is>
          <t>Dòng L04 có lỗi tại đây: Trong công thức \(A = \frac{0.6 \times \sqrt{2}}{10}\), em đã tính sai kết quả. Theo công thức của lời giải chuẩn, ta có \(A = \frac{v \sqrt{2}}{\omega}\). Với \(v = 0.6 \, \text{m/s}\) và \(\omega = 10 \, \text{rad/s}\), ta cần tính \(0.6 \times \sqrt{2}\) trước, sau đó chia cho 10. Hãy thử tính lại và kiểm tra kết quả?</t>
        </is>
      </c>
      <c r="O27" t="n">
        <v>1</v>
      </c>
      <c r="P27" t="n">
        <v>1</v>
      </c>
      <c r="Q27" t="n">
        <v>1</v>
      </c>
    </row>
    <row r="28">
      <c r="A28" t="inlineStr">
        <is>
          <t>sub_27</t>
        </is>
      </c>
      <c r="B28" t="inlineStr">
        <is>
          <t>q_38</t>
        </is>
      </c>
      <c r="C28" t="inlineStr">
        <is>
          <t>HeldOut_Unseen_11Q</t>
        </is>
      </c>
      <c r="D28" t="inlineStr">
        <is>
          <t>INCORRECT</t>
        </is>
      </c>
      <c r="E28" t="inlineStr">
        <is>
          <t>Học sinh viết \( \omega^2 = 20 \) nhưng Lời giải mẫu là \( \omega^2 = 40 \).</t>
        </is>
      </c>
      <c r="F28" t="inlineStr">
        <is>
          <t>Học sinh cần sử dụng giá trị \( \omega^2 = 40 \) từ Lời giải mẫu để tính \( \omega \) và từ đó tìm tần số dao động \( f \).</t>
        </is>
      </c>
      <c r="G28" t="n">
        <v>0</v>
      </c>
      <c r="H28" t="n">
        <v>1</v>
      </c>
      <c r="I28" t="n">
        <v>2</v>
      </c>
      <c r="J28" t="inlineStr">
        <is>
          <t>INCORRECT</t>
        </is>
      </c>
      <c r="K28" t="inlineStr">
        <is>
          <t>L03</t>
        </is>
      </c>
      <c r="L28" t="inlineStr">
        <is>
          <t>A/2 == 5 cm.</t>
        </is>
      </c>
      <c r="M28" t="inlineStr">
        <is>
          <t>IntraStep_Calc_Error (5/2 != 5, Numeric_Mismatch(diff=2.5,tol=5.50e-01))</t>
        </is>
      </c>
      <c r="N28" t="inlineStr">
        <is>
          <t>Dòng L03 của em có vấn đề. Em đã viết \( \frac{A}{2} = 5 \text{ cm} \), nhưng theo đề bài, khoảng thời gian để độ lớn gia tốc không vượt quá 100 cm/s² là \( \frac{T}{3} \). Điều này chỉ ra rằng em cần tính li độ \( x_a \) tại thời điểm gia tốc đạt 100 cm/s², chứ không phải là \( \frac{A}{2} \). Theo công thức của lời giải chuẩn, li độ \( x_a \) tại thời điểm gia tốc đạt 100 cm/s² là \( \frac{A}{2} \). Vậy, em nên tính \( x_a \) như thế nào?</t>
        </is>
      </c>
      <c r="O28" t="n">
        <v>1</v>
      </c>
      <c r="P28" t="n">
        <v>1</v>
      </c>
      <c r="Q28" t="n">
        <v>1</v>
      </c>
    </row>
    <row r="29">
      <c r="A29" t="inlineStr">
        <is>
          <t>sub_28</t>
        </is>
      </c>
      <c r="B29" t="inlineStr">
        <is>
          <t>q_39</t>
        </is>
      </c>
      <c r="C29" t="inlineStr">
        <is>
          <t>Calibration_11Q</t>
        </is>
      </c>
      <c r="D29" t="inlineStr">
        <is>
          <t>INCORRECT</t>
        </is>
      </c>
      <c r="E29" t="inlineStr">
        <is>
          <t>Học sinh viết \( \omega = 3\sqrt{10} \) rad/s nhưng Lời giải mẫu là \( \omega = \pi \) rad/s.</t>
        </is>
      </c>
      <c r="F29" t="inlineStr">
        <is>
          <t>Theo Lời giải mẫu, tần số góc \( \omega \) được xác định từ \( \omega A^2 = 250 \) và \( A = 5 \) cm, nên \( \omega = \frac{250}{25} = 10 \div \pi = \pi \) rad/s.</t>
        </is>
      </c>
      <c r="G29" t="n">
        <v>1</v>
      </c>
      <c r="H29" t="n">
        <v>0</v>
      </c>
      <c r="I29" t="n">
        <v>1</v>
      </c>
      <c r="J29" t="inlineStr">
        <is>
          <t>INCORRECT</t>
        </is>
      </c>
      <c r="K29" t="inlineStr">
        <is>
          <t>L14</t>
        </is>
      </c>
      <c r="L29" t="inlineStr">
        <is>
          <t>\omega \cdot \frac{2}{3} + \phi == \pi/3</t>
        </is>
      </c>
      <c r="M29" t="inlineStr">
        <is>
          <t>IntraStep_Calc_Error (pi != pi/3, Numeric_Mismatch(diff=2.0944,tol=1.00e-06))</t>
        </is>
      </c>
      <c r="N29" t="inlineStr">
        <is>
          <t>Dòng L14: \(\omega \cdot \frac{2}{3} + \phi = \pi/3\) Học sinh đã làm tròn sai giá trị của \(\omega\) tại L13, dẫn đến kết quả \(\omega = 3\sqrt{10}\) thay vì \(\omega = \pi\). Theo công thức Lời giải chuẩn, ta có \(\omega = \pi\) rad/s. Do đó, tại L14, học sinh nên sử dụng \(\omega = \pi\) thay vì \(3\sqrt{10}\). Hãy thử lại và kiểm tra lại giá trị của \(\omega\) và \(\phi\) sau khi thay đổi?</t>
        </is>
      </c>
      <c r="O29" t="n">
        <v>1</v>
      </c>
      <c r="P29" t="n">
        <v>1</v>
      </c>
      <c r="Q29" t="n">
        <v>1</v>
      </c>
    </row>
    <row r="30">
      <c r="A30" t="inlineStr">
        <is>
          <t>sub_29</t>
        </is>
      </c>
      <c r="B30" t="inlineStr">
        <is>
          <t>q_40</t>
        </is>
      </c>
      <c r="C30" t="inlineStr">
        <is>
          <t>HeldOut_Unseen_11Q</t>
        </is>
      </c>
      <c r="D30" t="inlineStr">
        <is>
          <t>INCORRECT</t>
        </is>
      </c>
      <c r="E30" t="inlineStr">
        <is>
          <t>Học sinh viết \( v = 20\pi \cos(10\pi t + \frac{5\pi}{6}) \) nhưng Lời giải mẫu là \( v = 20\pi \cos(10\pi t + \frac{\pi}{6}) \).</t>
        </is>
      </c>
      <c r="F30" t="inlineStr">
        <is>
          <t>Học sinh nên sử dụng công thức \( v = -\omega A \sin(\omega t + \phi + \frac{\pi}{2}) \) thay vì \( v = 20\pi \cos(10\pi t + \frac{5\pi}{6}) \). Theo Lời giải mẫu, pha ban đầu của vận tốc là \( \frac{\pi}{6} \), do đó công thức vận tốc đúng là \( v = 20\pi \cos(10\pi t + \frac{\pi}{6}) \).</t>
        </is>
      </c>
      <c r="G30" t="n">
        <v>0</v>
      </c>
      <c r="H30" t="n">
        <v>0</v>
      </c>
      <c r="I30" t="n">
        <v>1</v>
      </c>
      <c r="J30" t="inlineStr">
        <is>
          <t>INCORRECT</t>
        </is>
      </c>
      <c r="K30" t="inlineStr">
        <is>
          <t>L02</t>
        </is>
      </c>
      <c r="L30" t="inlineStr">
        <is>
          <t>-\omega A \sin(\omega t + \phi) == -\omega A \cos(\omega t + \phi + \frac{\pi}{2})</t>
        </is>
      </c>
      <c r="M30" t="inlineStr">
        <is>
          <t>Wave_Transform_Error (Symbolic_Mismatch)</t>
        </is>
      </c>
      <c r="N30" t="inlineStr">
        <is>
          <t>Dòng L02 của em có vấn đề. Em đã nhầm lẫn giữa biểu thức vận tốc và biểu thức li độ. Theo lời giải chuẩn, biểu thức vận tốc được tính bằng cách đạo hàm phương trình li độ theo thời gian, tức là \( v = -A \omega \sin(\omega t + \phi) \). Trong trường hợp này, em nên đạo hàm phương trình li độ \( x = 4 \cos(10\pi t - \frac{\pi}{3}) \) để tìm ra biểu thức vận tốc đúng. Vậy, em hãy nghĩ xem em cần làm gì để đạo hàm chính xác?</t>
        </is>
      </c>
      <c r="O30" t="n">
        <v>1</v>
      </c>
      <c r="P30" t="n">
        <v>1</v>
      </c>
      <c r="Q30" t="n">
        <v>1</v>
      </c>
    </row>
    <row r="31">
      <c r="A31" t="inlineStr">
        <is>
          <t>sub_30</t>
        </is>
      </c>
      <c r="B31" t="inlineStr">
        <is>
          <t>q_40</t>
        </is>
      </c>
      <c r="C31" t="inlineStr">
        <is>
          <t>HeldOut_Unseen_11Q</t>
        </is>
      </c>
      <c r="D31" t="inlineStr">
        <is>
          <t>INCORRECT</t>
        </is>
      </c>
      <c r="E31" t="inlineStr">
        <is>
          <t>Học sinh viết \( t = -\frac{\pi}{30} + \frac{1}{2} \) nhưng Lời giải mẫu là \( t = \frac{-1 + 6k}{30} \) với \( k = 1 \).</t>
        </is>
      </c>
      <c r="F31" t="inlineStr">
        <is>
          <t>Học sinh nên thay \( k = 1 \) vào công thức \( t = \frac{-1 + 6k}{30} \) để được \( t = \frac{-1 + 6 \times 1}{30} = \frac{5}{30} = \frac{1}{6} \).</t>
        </is>
      </c>
      <c r="G31" t="n">
        <v>1</v>
      </c>
      <c r="H31" t="n">
        <v>1</v>
      </c>
      <c r="I31" t="n">
        <v>3</v>
      </c>
      <c r="J31" t="inlineStr">
        <is>
          <t>INCORRECT</t>
        </is>
      </c>
      <c r="K31" t="inlineStr">
        <is>
          <t>L08</t>
        </is>
      </c>
      <c r="L31" t="inlineStr">
        <is>
          <t>t == -π/30 + k/2.</t>
        </is>
      </c>
      <c r="M31" t="inlineStr">
        <is>
          <t>Parametric_Solution_Error (k/2 - pi/30 != (2*pi*k - pi/3)/(10*pi))</t>
        </is>
      </c>
      <c r="N31" t="inlineStr">
        <is>
          <t>Dòng L08: `t == -π/30 + k/2`. Học sinh đã sai ở đây khi giải phương trình. Theo lời giải chuẩn, ta có:
\[ 10\pi t = -\frac{\pi}{3} + 2k\pi \]
Chia cả hai bên cho \(10\pi\), ta được:
\[ t = \frac{-\frac{\pi}{3} + 2k\pi}{10\pi} = \frac{-1 + 6k}{30} \] Học sinh đã bỏ sót phần nhân \(k\) với \(10\pi\) khi chuyển đổi từ góc sang thời gian. Hãy thử lại và kiểm tra lại từng bước nhé?</t>
        </is>
      </c>
      <c r="O31" t="n">
        <v>1</v>
      </c>
      <c r="P31" t="n">
        <v>1</v>
      </c>
      <c r="Q31" t="n">
        <v>1</v>
      </c>
    </row>
    <row r="32">
      <c r="A32" t="inlineStr">
        <is>
          <t>sub_31</t>
        </is>
      </c>
      <c r="B32" t="inlineStr">
        <is>
          <t>q_40</t>
        </is>
      </c>
      <c r="C32" t="inlineStr">
        <is>
          <t>HeldOut_Unseen_11Q</t>
        </is>
      </c>
      <c r="D32" t="inlineStr">
        <is>
          <t>INCORRECT</t>
        </is>
      </c>
      <c r="E32" t="inlineStr">
        <is>
          <t>Học sinh viết \(10\pi t = -\frac{\pi}{6} + \frac{\pi}{6} + 2k\pi\) nhưng Lời giải mẫu là \(10\pi t = -\frac{\pi}{3} + 2k\pi\).</t>
        </is>
      </c>
      <c r="F32" t="inlineStr">
        <is>
          <t>Học sinh nên sử dụng pha ban đầu từ Lời giải mẫu là \(-\frac{\pi}{3}\) thay vì \(-\frac{\pi}{6}\).</t>
        </is>
      </c>
      <c r="G32" t="n">
        <v>0</v>
      </c>
      <c r="H32" t="n">
        <v>0</v>
      </c>
      <c r="I32" t="n">
        <v>1</v>
      </c>
      <c r="J32" t="inlineStr">
        <is>
          <t>INCORRECT</t>
        </is>
      </c>
      <c r="K32" t="inlineStr">
        <is>
          <t>L03</t>
        </is>
      </c>
      <c r="L32" t="inlineStr">
        <is>
          <t>40π.cos(10πt - π/3 + π/2) == 40π.cos(10πt - π/6).</t>
        </is>
      </c>
      <c r="M32" t="inlineStr">
        <is>
          <t>Wave_Transform_Error (Symbolic_Mismatch)</t>
        </is>
      </c>
      <c r="N32" t="inlineStr">
        <is>
          <t>Dòng L03 của em có vấn đề. Em đã chuyển đổi từ biểu thức vận tốc \( v = -40\pi \sin(10\pi t - \frac{\pi}{3}) \) sang \( v = 40\pi \cos(10\pi t - \frac{\pi}{3} + \frac{\pi}{2}) \), nhưng theo công thức chuẩn, biểu thức đúng là \( v = 40\pi \cos(10\pi t - \frac{\pi}{6}) \). Điều này xảy ra do em đã cộng sai góc. Hãy kiểm tra lại quy tắc chuyển đổi giữa sin và cos, và nhớ rằng \( \sin(x) = \cos(x - \frac{\pi}{2}) \). Em có thể làm lại bước này không?</t>
        </is>
      </c>
      <c r="O32" t="n">
        <v>1</v>
      </c>
      <c r="P32" t="n">
        <v>1</v>
      </c>
      <c r="Q32"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s="1" t="inlineStr">
        <is>
          <t>submission_id</t>
        </is>
      </c>
      <c r="B1" s="1" t="inlineStr">
        <is>
          <t>question_id</t>
        </is>
      </c>
      <c r="C1" s="1" t="inlineStr">
        <is>
          <t>true_first_error_lines</t>
        </is>
      </c>
      <c r="D1" s="1" t="inlineStr">
        <is>
          <t>student_numbered_lines</t>
        </is>
      </c>
      <c r="E1" s="1" t="inlineStr">
        <is>
          <t>Tutor_A_Feedback</t>
        </is>
      </c>
      <c r="F1" s="1" t="inlineStr">
        <is>
          <t>Tutor_A_Faithful_0_1</t>
        </is>
      </c>
      <c r="G1" s="1" t="inlineStr">
        <is>
          <t>Tutor_A_Usefulness_1_3</t>
        </is>
      </c>
      <c r="H1" s="1" t="inlineStr">
        <is>
          <t>Tutor_B_Feedback</t>
        </is>
      </c>
      <c r="I1" s="1" t="inlineStr">
        <is>
          <t>Tutor_B_Faithful_0_1</t>
        </is>
      </c>
      <c r="J1" s="1" t="inlineStr">
        <is>
          <t>Tutor_B_Usefulness_1_3</t>
        </is>
      </c>
    </row>
    <row r="2">
      <c r="A2" t="inlineStr">
        <is>
          <t>sub_01</t>
        </is>
      </c>
      <c r="B2" t="inlineStr">
        <is>
          <t>q_04</t>
        </is>
      </c>
      <c r="C2" t="inlineStr">
        <is>
          <t>L04</t>
        </is>
      </c>
      <c r="D2" t="inlineStr">
        <is>
          <t>L01: Trong dao động điều hòa, khoảng thời gian giữa hai lần liên tiếp vật đi qua vị trí cân bằng là nửa chu kỳ ($\Delta t = T/2$).
L02: Từ phương trình dao động, ta có tần số góc $\omega = 4\pi  \text{ rad/s}$.
L03: Khoảng thời gian giữa hai lần liên tiếp vật qua vị trí cân bằng là:
L04: $\Delta t = \frac{T}{2} = \frac{2\pi}{\omega \cdot 2} = \frac{\pi}{4\pi} = 0,125  \text{ (s)}$
L05: Khoảng thời gian giữa hai lần liên tiếp vật qua vị trí cân bằng là $\Delta t = 0,125  \text{ s}$.</t>
        </is>
      </c>
      <c r="E2" t="inlineStr">
        <is>
          <t>Dòng L04 có lỗi ở chỗ học sinh đã thực hiện phép chia \(\frac{\pi}{4\pi}\) và thu được kết quả \(0.125\) thay vì \(0.25\). Theo công thức chuẩn, chu kỳ \(T\) của dao động là \(\frac{2\pi}{\omega}\), và khoảng thời gian giữa hai lần liên tiếp vật đi qua VTCB là \(\Delta t = \frac{T}{2} = \frac{\pi}{\omega}\). Vì vậy, khi thay \(\omega = 4\pi\) vào, ta sẽ có \(\Delta t = \frac{\pi}{4\pi} = \frac{1}{4} = 0.25\) s. Hãy kiểm tra lại phép tính của bạn và xem liệu bạn có làm tròn sai hay không? ?</t>
        </is>
      </c>
      <c r="F2" t="n">
        <v>1</v>
      </c>
      <c r="G2" t="n">
        <v>3</v>
      </c>
      <c r="H2" t="inlineStr">
        <is>
          <t>Học sinh nên sử dụng công thức $\Delta t = \frac{\pi}{\omega}$ thay vì $\Delta t = \frac{2\pi}{\omega \cdot 2}$.</t>
        </is>
      </c>
      <c r="I2" t="n">
        <v>0</v>
      </c>
      <c r="J2" t="n">
        <v>1</v>
      </c>
    </row>
    <row r="3">
      <c r="A3" t="inlineStr">
        <is>
          <t>sub_02</t>
        </is>
      </c>
      <c r="B3" t="inlineStr">
        <is>
          <t>q_08</t>
        </is>
      </c>
      <c r="C3" t="inlineStr">
        <is>
          <t>L01,L02</t>
        </is>
      </c>
      <c r="D3" t="inlineStr">
        <is>
          <t>L01: Biên độ dao động \( A \) được tính thông qua mối quan hệ giữa vận tốc cực đại \( v_{max} \) và gia tốc cực đại \( a_{max} \). Theo công thức \( a_{max} = \omega^2 A \) và \( v_{max} = \omega A \), chúng ta có thể viết \( a_{max} = (\frac{v_{max}}{\omega})^2 \).
L02: - Từ \( a_{max} = 16\pi^2 \) cm/s², ta có thể giải \( \omega^2 = \frac{a_{max}}{v_{max}} = \frac{16\pi^2}{8\pi} = 2\pi^2 \).
L03: - Từ đó, \( \omega = \sqrt{2\pi^2} = 2\pi \) rad/s.
L04: - Sử dụng \( v_{max} = \omega A \), ta có \( 8\pi = 2\pi A \), từ đó \( A = 4 \) cm.
L05: Biên độ của dao động là \( A = 4 \) cm.</t>
        </is>
      </c>
      <c r="E3" t="inlineStr">
        <is>
          <t>Không cần sửa gì.</t>
        </is>
      </c>
      <c r="F3" t="n">
        <v>0</v>
      </c>
      <c r="G3" t="n">
        <v>1</v>
      </c>
      <c r="H3" t="inlineStr">
        <is>
          <t>Dòng L01 của em có vấn đề. Em đã viết \( a_{max} = \left(\frac{v_{max}}{\omega}\right)^2 \), nhưng theo lời giải chuẩn, công thức đúng là \( a_{max} = \omega^2 A \). Vì vậy, em nên sử dụng mối quan hệ giữa \( a_{max} \), \( \omega \), và \( A \) để tìm \( \omega \) trước. Cụ thể, em có thể viết \( \omega^2 = \frac{a_{max}}{A} \). Vậy, em hãy thử lại từ đây xem sao?</t>
        </is>
      </c>
      <c r="I3" t="n">
        <v>1</v>
      </c>
      <c r="J3" t="n">
        <v>1</v>
      </c>
    </row>
    <row r="4">
      <c r="A4" t="inlineStr">
        <is>
          <t>sub_03</t>
        </is>
      </c>
      <c r="B4" t="inlineStr">
        <is>
          <t>q_10</t>
        </is>
      </c>
      <c r="C4" t="inlineStr">
        <is>
          <t>L02</t>
        </is>
      </c>
      <c r="D4" t="inlineStr">
        <is>
          <t>L01: Phương trình x1 ở dạng sin nên cần chuẩn hóa về dạng cos để xác định các thông số và tính biên độ tổng hợp A, từ đó tìm v_max.
L02: - Chuẩn hóa x1: x1 = 3cos(10t – π/3 + π/2) = 3cos(10t + π/6) cm.
L03: - Thông số: A1 = 3 cm, phi1 = π/6 rad; A2 = 4 cm, phi2 = π/6 rad; omega = 10 rad/s.
L04: - Độ lệch pha: delta_phi = φ2 - φ1 = π/6 - π/6 = 0 rad.
L05: - Biên độ tổng hợp: A = √(3^2 + 4^2 + 2.3.4.cos(0)) = √(9 + 16 + 24) = √49 = 7 cm.
L06: - Tốc độ cực đại: v_max = ω.A = 10 . 7 = 70 (cm/s).
L07: Tốc độ cực đại của vật là v_max = 70 cm/s.</t>
        </is>
      </c>
      <c r="E4" t="inlineStr">
        <is>
          <t>Học sinh cần lưu ý rằng độ lệch pha \( \Delta \phi = \pi \) rad, nên \( \cos(\Delta \phi) = \cos(\pi) = -1 \). Do đó, biểu thức cho biên độ tổng hợp \( A \) phải là \( A = \sqrt{9 + 16 + 2 \cdot 3 \cdot 4 \cdot (-1)} = \sqrt{1} = 1 \) cm.</t>
        </is>
      </c>
      <c r="F4" t="n">
        <v>0</v>
      </c>
      <c r="G4" t="n">
        <v>1</v>
      </c>
      <c r="H4" t="inlineStr">
        <is>
          <t>Dòng L02 có vấn đề. Học sinh đã chuẩn hóa phương trình \( x_1 \) thành \( 3\cos(10t - \frac{\pi}{3} + \frac{\pi}{2}) \), nhưng theo công thức chuẩn, ta cần cộng thêm \( \frac{\pi}{2} \) vào pha của \( x_1 \) để chuyển nó sang dạng cos. Tuy nhiên, học sinh đã cộng \( \frac{\pi}{2} \) vào pha \( -\frac{\pi}{3} \) mà không đổi dấu, dẫn đến sai lệch. Theo công thức chuẩn, pha của \( x_1 \) sau khi chuẩn hóa nên là \( -\frac{\pi}{3} - \frac{\pi}{2} = -\frac{5\pi}{6} \). Hãy kiểm tra lại và viết lại pha của \( x_1 \) sao cho nó đúng theo công thức chuẩn, rồi tiếp tục tính toán nhé?</t>
        </is>
      </c>
      <c r="I4" t="n">
        <v>1</v>
      </c>
      <c r="J4" t="n">
        <v>2</v>
      </c>
    </row>
    <row r="5">
      <c r="A5" t="inlineStr">
        <is>
          <t>sub_04</t>
        </is>
      </c>
      <c r="B5" t="inlineStr">
        <is>
          <t>q_17</t>
        </is>
      </c>
      <c r="C5" t="inlineStr">
        <is>
          <t>L08</t>
        </is>
      </c>
      <c r="D5" t="inlineStr">
        <is>
          <t>L01: - Điều kiện đề bài: Wt &lt;= 3.Wđ.
L02: - Ta có cơ năng W = Wt + Wđ = Wt + 3.Wt = 4.Wt =&gt; Wt/W &lt;= 3/4.
L03: - Theo công thức thế năng: Wt/W = x^2/A^2 =&gt; x^2/A^2 &lt;= 3/4 =&gt; |x| &lt;= A.sqrt(3)/2.
L04: - Như vậy, vùng cần xét là khoảng li độ trong đoạn [-A.sqrt(3)/2, A.sqrt(3)/2].
L05: - Thời gian đi từ VTCB (x = 0) đến x = A.sqrt(3)/2 là T/6.
L06: - Trong nửa chu kỳ (T/2), thời gian vật ở vùng |x| &lt;= A.sqrt(3)/2 là: delta_t = 2.(T/6) = T/3.
L07: - Quãng đường tương ứng đi từ -A.sqrt(3)/2 đến A.sqrt(3)/2 là: S = A.sqrt(3).
L08: - Tốc độ trung bình: v_tb = S/delta_t = A.sqrt(3) / (T/3) = 9.A/T.
L09: - Thay số: 300.sqrt(3) = 9.A/T =&gt; A/T = 33.33.
L10: - Tốc độ cực đại: v_max = 2.pi.(A/T) = 2.pi.33.33 = 213.06.pi (cm/s).
L11: Tốc độ cực đại là v_max = 213.06.pi (cm/s).</t>
        </is>
      </c>
      <c r="E5" t="inlineStr">
        <is>
          <t>Dòng L08 có vấn đề. Học sinh đã nhầm lẫn trong việc tính thời gian \(\Delta t\). Theo lời giải chuẩn, thời gian \(\Delta t\) mà vật ở vùng \(\left| x \right| \leq \frac{A\sqrt{3}}{2}\) trong nửa chu kì là \(\frac{T}{3}\), không phải \(\frac{T}{6}\). Do đó, biểu thức \(\frac{A\sqrt{3}}{\frac{T}{3}}\) nên được viết lại là \(3A\sqrt{3} \cdot \frac{1}{T}\). Học sinh hãy kiểm tra lại công thức tính thời gian \(\Delta t\) và quãng đường \(S\) trong bước này, sau đó tính lại tốc độ trung bình \(v_{tb}\)?</t>
        </is>
      </c>
      <c r="F5" t="n">
        <v>0</v>
      </c>
      <c r="G5" t="n">
        <v>2</v>
      </c>
      <c r="H5" t="inlineStr">
        <is>
          <t>Học sinh nên sử dụng công thức \( v_{tb} = \frac{S}{\Delta t} = \frac{A\sqrt{3}}{\frac{T}{3}} = 3A\sqrt{3}/T \) như trong Lời giải mẫu.</t>
        </is>
      </c>
      <c r="I5" t="n">
        <v>1</v>
      </c>
      <c r="J5" t="n">
        <v>2</v>
      </c>
    </row>
    <row r="6">
      <c r="A6" t="inlineStr">
        <is>
          <t>sub_05</t>
        </is>
      </c>
      <c r="B6" t="inlineStr">
        <is>
          <t>q_19</t>
        </is>
      </c>
      <c r="C6" t="inlineStr">
        <is>
          <t>L05</t>
        </is>
      </c>
      <c r="D6" t="inlineStr">
        <is>
          <t>L01: Năng lượng dao động (Cơ năng, W) của vật được bảo toàn và bằng tổng của thế năng và động năng của vật tại thời điểm ban đầu (W = 1/2.k.x0^2 + 1/2.m.v0^2).
L02: - Chuyển đổi đơn vị: x0 = 2 cm = 0,02 m; v0 = 15√5π cm/s = 0,15√5π m/s.
L03: - Công thức: W = 1/2.k.x0^2 + 1/2.m.v0^2.
L04: - Thay số: W = 1/2.(100).(0,02)^2 + 1/2.(0,4).(0,15√5π)^2
L05: W = 50.(0,0004) + 0,2.(0,0225 * 5π)
L06: W = 0,02 + 0,2.(0,1125 * 5π)
L07: W = 0,02 + 0,2.(0,5625π)
L08: W = 0,02 + 0,1125π (J).
L09: Năng lượng dao động của vật là W = 0,02 + 0,1125π (J).</t>
        </is>
      </c>
      <c r="E6" t="inlineStr">
        <is>
          <t>Học sinh cần tính toán lại động năng ban đầu \( W_d \) đúng theo công thức và giá trị đã cho. Động năng ban đầu \( W_d = \frac{1}{2} \times 0.4 \times (0.15\sqrt{5}\pi)^2 \), sau đó cộng với thế năng ban đầu \( W_t = 0.02 \, \text{J} \) để được năng lượng dao động \( W = 0.245 \, \text{J} \).</t>
        </is>
      </c>
      <c r="F6" t="n">
        <v>0</v>
      </c>
      <c r="G6" t="n">
        <v>1</v>
      </c>
      <c r="H6" t="inlineStr">
        <is>
          <t>Dòng L05 có vấn đề. Theo lời giải chuẩn, tại L05 bạn nên giữ nguyên biểu thức động năng như sau: \( W_d = \frac{1}{2} \times 0.4 \times (0.15\sqrt{5}\pi)^2 \). Tuy nhiên, bạn đã thay đổi thành \( W_d = 50 \times (0.0004) + 0.2 \times (0.0225 \times 5\pi) \), khiến biểu thức không còn chính xác. Hãy kiểm tra lại công thức động năng và thay số đúng theo lời giải chuẩn. Bạn có thể làm lại từ đây?</t>
        </is>
      </c>
      <c r="I6" t="n">
        <v>0</v>
      </c>
      <c r="J6" t="n">
        <v>2</v>
      </c>
    </row>
    <row r="7">
      <c r="A7" t="inlineStr">
        <is>
          <t>sub_06</t>
        </is>
      </c>
      <c r="B7" t="inlineStr">
        <is>
          <t>q_19</t>
        </is>
      </c>
      <c r="C7" t="inlineStr">
        <is>
          <t>L05</t>
        </is>
      </c>
      <c r="D7" t="inlineStr">
        <is>
          <t>L01: Năng lượng dao động (Cơ năng, W) của vật được bảo toàn và bằng tổng của thế năng và động năng của vật tại thời điểm ban đầu (W = 1/2.k.x0^2 + 1/2.m.v0^2).
L02: - Chuyển đổi đơn vị: x0 = 2 cm = 0,02 m; v0 = 15√5π cm/s = 15√5.pi / 100 m/s = 0,15√5.pi m/s.
L03: - Công thức: W = 1/2.k.x0^2 + 1/2.m.v0^2.
L04: - Thay số: W = 1/2.(100).(0,02)^2 + 1/2.(0,4).(0,15√5.pi)^2
L05: W = 50.(0,0004) + 0,2.(0,225 * 5 * 10)
L06: W = 0,002 + 0,275 = 0,277 (J).
L07: Năng lượng dao động của vật là W = 0,277 (J).</t>
        </is>
      </c>
      <c r="E7" t="inlineStr">
        <is>
          <t>Học sinh nên sử dụng công thức chính xác từ Lời giải mẫu: \( W = \frac{1}{2} \times 100 \times (0.02)^2 + \frac{1}{2} \times 0.4 \times (0.15\sqrt{5}\pi)^2 \).</t>
        </is>
      </c>
      <c r="F7" t="n">
        <v>0</v>
      </c>
      <c r="G7" t="n">
        <v>1</v>
      </c>
      <c r="H7" t="inlineStr">
        <is>
          <t>Dòng L05 có vấn đề. Theo lời giải chuẩn, biểu thức tại L05 nên là \( W = 50 \times (0.0004) + 0.2 \times (0.225 \times 5 \times 10) \), nhưng học sinh đã nhầm lẫn và viết thành \( W = 50 \times (0.0004) + 0.2 \times (0.225 \times 5 \times 10) \). Điều này khiến kết quả không chính xác. Hãy kiểm tra lại từng bước tính toán và so sánh với công thức chuẩn. Bạn đã làm gì khác biệt ở đây? ?</t>
        </is>
      </c>
      <c r="I7" t="n">
        <v>0</v>
      </c>
      <c r="J7" t="n">
        <v>1</v>
      </c>
    </row>
    <row r="8">
      <c r="A8" t="inlineStr">
        <is>
          <t>sub_07</t>
        </is>
      </c>
      <c r="B8" t="inlineStr">
        <is>
          <t>q_20</t>
        </is>
      </c>
      <c r="C8" t="inlineStr">
        <is>
          <t>L06</t>
        </is>
      </c>
      <c r="D8" t="inlineStr">
        <is>
          <t>L01: Động năng cực đại (Wđmax) của vật trong dao động điều hòa bằng cơ năng (W) của hệ và được tính bằng công thức Wđmax = 1/2.m.vmax^2, với vmax = omega.A.
L02: - Chuyển đổi đơn vị: m = 50 g = 0,05 kg; A = 4 cm = 0,04 m.
L03: - Công thức: Wđmax = 1/2.m.omega^2.A^2.
L04: - Thay số: Wđmax = 1/2.(0,05).(3)^2.(0,04)^2
L05: Wđmax = 0,025 * 9 * 0,0016
L06: Wđmax = 0,00225 (J).
L07: Động năng cực đại của vật là Wđmax = 0,00225 (J).</t>
        </is>
      </c>
      <c r="E8" t="inlineStr">
        <is>
          <t>Học sinh nên sử dụng công thức \( W_{\text{đmax}} = \frac{1}{2} m v_{\text{max}}^2 \) thay vì \( W_{\text{đmax}} = \frac{1}{2} m \omega^2 A^2 \). Vận tốc cực đại \( v_{\text{max}} \) đã được tính trước đó là \( 0.12 \, \text{m/s} \).</t>
        </is>
      </c>
      <c r="F8" t="n">
        <v>0</v>
      </c>
      <c r="G8" t="n">
        <v>1</v>
      </c>
      <c r="H8" t="inlineStr">
        <is>
          <t>Dòng L06 có lỗi. Theo công thức của lời giải chuẩn Stage 1, động năng cực đại \( W_{\text{đmax}} \) được tính bằng công thức \( W_{\text{đmax}} = \frac{1}{2} m v_{\text{max}}^2 \), trong đó \( v_{\text{max}} = \omega A \). Học sinh đã sử dụng công thức này nhưng có sự nhầm lẫn trong quá trình tính toán. Hãy kiểm tra lại phép tính của bạn và so sánh với công thức \( W_{\text{đmax}} = \frac{1}{2} \times 0.05 \times (0.12)^2 \)?</t>
        </is>
      </c>
      <c r="I8" t="n">
        <v>1</v>
      </c>
      <c r="J8" t="n">
        <v>3</v>
      </c>
    </row>
    <row r="9">
      <c r="A9" t="inlineStr">
        <is>
          <t>sub_08</t>
        </is>
      </c>
      <c r="B9" t="inlineStr">
        <is>
          <t>q_22</t>
        </is>
      </c>
      <c r="C9" t="inlineStr">
        <is>
          <t>L05</t>
        </is>
      </c>
      <c r="D9" t="inlineStr">
        <is>
          <t>L01: Với dao động nhỏ, cơ năng của con lắc đơn được xác định bởi công thức: W = 1/2 . m . g . l . alpha0^2, với alpha0 là biên độ góc (rad).
L02: - Dữ kiện: m = 2 kg; l = 4 m; g = 9,8 m/s^2; W = 0,2205 J.
L03: - Rút ra công thức: alpha0^2 = 2W / (m.g.l).
L04: - Thay số: alpha0^2 = (2 . 0,2205) / (2 . 9,8 . 4) = 0,441 / 78,4.
L05: - Kết quả trung gian: alpha0^2 = 0,00565625.
L06: - Tính biên độ góc: alpha0 = sqrt(0,00565625)  \approx 0,0752 (rad).
L07: Biên độ góc của con lắc là alpha0  \approx 0,0752 rad.</t>
        </is>
      </c>
      <c r="E9" t="inlineStr">
        <is>
          <t>Không cần sửa, vì biểu thức của học sinh và Lời giải mẫu là giống nhau.</t>
        </is>
      </c>
      <c r="F9" t="n">
        <v>0</v>
      </c>
      <c r="G9" t="n">
        <v>1</v>
      </c>
      <c r="H9" t="inlineStr">
        <is>
          <t>Dòng L05 có vấn đề. Theo công thức chuẩn, bạn đã tính được \(\alpha_0^2 = \frac{0.441}{78.4}\), nhưng kết quả bạn đưa ra là \(\alpha_0^2 = 0.00565625\). Thực tế, \(\frac{0.441}{78.4}\) sẽ cho kết quả khác. Hãy kiểm tra lại phép chia này và xem liệu bạn có làm tròn sai hay không? ? Hãy tính lại \(\frac{0.441}{78.4}\) và so sánh với kết quả bạn đã có.</t>
        </is>
      </c>
      <c r="I9" t="n">
        <v>1</v>
      </c>
      <c r="J9" t="n">
        <v>3</v>
      </c>
    </row>
    <row r="10">
      <c r="A10" t="inlineStr">
        <is>
          <t>sub_09</t>
        </is>
      </c>
      <c r="B10" t="inlineStr">
        <is>
          <t>q_25</t>
        </is>
      </c>
      <c r="C10" t="inlineStr">
        <is>
          <t>L02</t>
        </is>
      </c>
      <c r="D10" t="inlineStr">
        <is>
          <t>L01: Cơ năng của con lắc là W = 1/2 . k . A^2. Khi năng lượng mất đi 8%, phần năng lượng còn lại là W' = 92% . W = 0,92 . W.
L02: - Tỉ số biên độ còn lại: A'/A = sqrt(W'/W) = sqrt(0,92) ≈ 0,9539.
L03: - Phần trăm biên độ giảm: %delta_A = (1 - 0,9539) . 100% ≈ 4,61%.
L04: Biên độ giảm đi khoảng 4,61%.</t>
        </is>
      </c>
      <c r="E10" t="inlineStr">
        <is>
          <t>Dòng L02 có vấn đề. Theo công thức trong Lời giải chuẩn Stage 1, bạn cần tính tỉ số biên độ còn lại như sau: \( \frac{A'}{A} = \sqrt{\frac{W'}{W}} = \sqrt{0.92} \). Giá trị chính xác của \( \sqrt{0.92} \) là khoảng 0.9592, không phải 0.9539. Hãy thử tính lại giá trị của \( \sqrt{0.92} \) và xem kết quả có thay đổi không? ?</t>
        </is>
      </c>
      <c r="F10" t="n">
        <v>1</v>
      </c>
      <c r="G10" t="n">
        <v>3</v>
      </c>
      <c r="H10" t="inlineStr">
        <is>
          <t>Sử dụng giá trị từ Lời giải mẫu, ta có \( \sqrt{0.92} \approx 0.9592 \).</t>
        </is>
      </c>
      <c r="I10" t="n">
        <v>1</v>
      </c>
      <c r="J10" t="n">
        <v>2</v>
      </c>
    </row>
    <row r="11">
      <c r="A11" t="inlineStr">
        <is>
          <t>sub_10</t>
        </is>
      </c>
      <c r="B11" t="inlineStr">
        <is>
          <t>q_25</t>
        </is>
      </c>
      <c r="C11" t="inlineStr">
        <is>
          <t>L03</t>
        </is>
      </c>
      <c r="D11" t="inlineStr">
        <is>
          <t>L01: Cơ năng của con lắc tỉ lệ với bình phương biên độ (W = 1/2 . k . A^2). Khi năng lượng mất đi 8%, phần năng lượng còn lại là W' = 92% . W = 0,92 . W.
L02: - Tỉ số biên độ còn lại: A'/A = sqrt(W'/W) = sqrt(0,92).
L03: - Tính giá trị tỉ số A'/A: A'/A ≈ sqrt(0,92) ≈ 0,9583.
L04: - Phần trăm biên độ giảm: %delta_A = (1 - 0,9583) . 100% ≈ 4,17%.
L05: Biên độ giảm đi 4,17%.</t>
        </is>
      </c>
      <c r="E11" t="inlineStr">
        <is>
          <t>Sử dụng giá trị từ Lời giải mẫu, hãy thay đổi \( 0.9583 \) thành \( 0.9592 \).</t>
        </is>
      </c>
      <c r="F11" t="n">
        <v>1</v>
      </c>
      <c r="G11" t="n">
        <v>2</v>
      </c>
      <c r="H11" t="inlineStr">
        <is>
          <t>Dòng L03 có vấn đề. Theo lời giải chuẩn, bạn đã tính đúng rằng \( \frac{A'}{A} = \sqrt{0.92} \). Tuy nhiên, khi tính giá trị căn bậc hai của 0.92, bạn đã làm tròn sai. Giá trị chính xác của \( \sqrt{0.92} \) là khoảng 0.9592, không phải 0.9583. Điều này khiến phần trăm biên độ giảm đi không chính xác. Hãy thử tính lại \( \sqrt{0.92} \) và làm tròn đến 4 chữ số thập phân, sau đó tính phần trăm biên độ giảm đi?</t>
        </is>
      </c>
      <c r="I11" t="n">
        <v>1</v>
      </c>
      <c r="J11" t="n">
        <v>3</v>
      </c>
    </row>
    <row r="12">
      <c r="A12" t="inlineStr">
        <is>
          <t>sub_11</t>
        </is>
      </c>
      <c r="B12" t="inlineStr">
        <is>
          <t>q_26</t>
        </is>
      </c>
      <c r="C12" t="inlineStr">
        <is>
          <t>L10</t>
        </is>
      </c>
      <c r="D12" t="inlineStr">
        <is>
          <t>L01: - Biên độ: A = L/2 = 14/2 = 7 cm.
L02: - Vị trí đầu: x = 3,5 cm = A/2. Vật đang đi theo chiều dương.
L03: - Vị trí đích: Gia tốc cực tiểu (amin) khi vật ở biên dương x = +A = 7 cm.
L04: - Hành trình lần đầu: Từ vị trí x = A/2 theo chiều dương, vật đi trực tiếp ra biên dương (+A) để đạt đích lần thứ nhất.
L05: - Thời gian t1: Thời gian vật đi từ A/2 đến A tương ứng với t1 = T/6.
L06: - Quãng đường lẻ lần đầu: S1 = A - A/2 = 7 - 3,5 = 3,5 cm.
L07: - Để đạt gia tốc cực tiểu lần thứ hai, vật đi thêm 1 chu kỳ T:
L08: + delta_t = t1 + T = T/6 + T = 7T/6 = (7 . 1) / 6 = 1,167 (s).
L09: + S = S1 + 4A = 3,5 + 4 . 7 = 31,5 cm.
L10: - Tốc độ trung bình: v_tb = S / delta_t = 31,5 / 1,167  \approx 27,19 (cm/s).
L11: Tốc độ trung bình là v_tb  \approx 27,19 cm/s.</t>
        </is>
      </c>
      <c r="E12" t="inlineStr">
        <is>
          <t>Dòng L10: Tại đây, em đã tính tốc độ trung bình \( v_{\text{tb}} \) bằng cách chia quãng đường \( S = 31.5 \) cm cho thời gian \( \Delta t = 1.167 \) s, nhưng kết quả em được \( 27.19 \) cm/s thay vì \( 27 \) cm/s. Theo công thức của lời giải chuẩn, tốc độ trung bình \( v_{\text{tb}} \) được tính như sau:
\[ v_{\text{tb}} = \frac{S}{\Delta t} = \frac{31.5}{1.167} \approx 27 \text{ cm/s} \] Em đã làm tròn sai số. Hãy thử làm tròn kết quả của phép chia \( 31.5 \div 1.167 \) sao cho kết quả chính xác nhất có 2 chữ số thập phân?</t>
        </is>
      </c>
      <c r="F12" t="n">
        <v>1</v>
      </c>
      <c r="G12" t="n">
        <v>2</v>
      </c>
      <c r="H12" t="inlineStr">
        <is>
          <t>Học sinh nên sử dụng giá trị \(t_1 = \frac{T}{6} = \frac{1}{6} \approx 0.167\) (s) thay vào công thức \(\Delta t = t_1 + T\).</t>
        </is>
      </c>
      <c r="I12" t="n">
        <v>0</v>
      </c>
      <c r="J12" t="n">
        <v>1</v>
      </c>
    </row>
    <row r="13">
      <c r="A13" t="inlineStr">
        <is>
          <t>sub_12</t>
        </is>
      </c>
      <c r="B13" t="inlineStr">
        <is>
          <t>q_26</t>
        </is>
      </c>
      <c r="C13" t="inlineStr">
        <is>
          <t>L10</t>
        </is>
      </c>
      <c r="D13" t="inlineStr">
        <is>
          <t>L01: - Biên độ: A = L/2 = 14/2 = 7 cm.
L02: - Vị trí đầu: x = 3,5 cm = A/2. Vật đang đi theo chiều dương.
L03: - Vị trí đích: Gia tốc cực tiểu (amin) khi vật ở biên dương x = +A = 7 cm.
L04: - Hành trình lần đầu: Từ x = A/2, vật đi theo chiều dương nên tiến thẳng đến biên dương (+A) là chạm đích lần 1.
L05: - Thời gian t1: Khoảng thời gian vật đi thẳng từ A/2 đến A là t1 = T/6.
L06: - Quãng đường lẻ lần đầu: S1 = A - A/2 = 7 - 3,5 = 3,5 cm.
L07: - Lần thứ hai nên vật thực hiện thêm 1 chu kỳ T sau khi đã đến đích lần 1:
L08: + delta_t = t1 + T = T/6 + T = 7T/6 = (7 . 1) / 6 = 7/6 (s).
L09: + S = S1 + 4A = 3,5 + 4 . 7 = 3,5 + 28 = 31,5 cm.
L10: - Tốc độ trung bình: v_tb = S / delta_t = 31,5 / 7/6  \approx 25,5 (cm/s).
L11: Tốc độ trung bình là v_tb  \approx 25,5 cm/s.</t>
        </is>
      </c>
      <c r="E13" t="inlineStr">
        <is>
          <t>Dòng L10 có lỗi vì học sinh đã làm tròn sai số trong phép chia. Theo công thức chuẩn, quãng đường \( S = 31.5 \) cm và thời gian \( \Delta t = \frac{7}{6} \) s. Khi tính tốc độ trung bình \( v_{\text{tb}} \), học sinh nên giữ nguyên số thập phân để tránh sai số: \[
v_{\text{tb}} = \frac{31.5}{\frac{7}{6}} = 31.5 \times \frac{6}{7} = 27 \text{ cm/s}
\] Học sinh cần chú ý giữ nguyên số thập phân trong phép chia để tránh sai số. Hãy thử tính lại và kiểm tra kết quả?</t>
        </is>
      </c>
      <c r="F13" t="n">
        <v>1</v>
      </c>
      <c r="G13" t="n">
        <v>2</v>
      </c>
      <c r="H13" t="inlineStr">
        <is>
          <t>Theo Lời giải mẫu, thời gian \(\Delta t\) từ khi qua vị trí \(x_0\) đến khi gia tốc đạt giá trị cực tiểu lần thứ hai là \(t_1 + T = \frac{T}{6} + T = \frac{1}{6} + 1 = 1.167 \text{ s}\).</t>
        </is>
      </c>
      <c r="I13" t="n">
        <v>0</v>
      </c>
      <c r="J13" t="n">
        <v>1</v>
      </c>
    </row>
    <row r="14">
      <c r="A14" t="inlineStr">
        <is>
          <t>sub_13</t>
        </is>
      </c>
      <c r="B14" t="inlineStr">
        <is>
          <t>q_28</t>
        </is>
      </c>
      <c r="C14" t="inlineStr">
        <is>
          <t>L01</t>
        </is>
      </c>
      <c r="D14" t="inlineStr">
        <is>
          <t>L01: - Tần số góc: omega = a_max / v_max = 2.pi / 60 = pi / 30 (rad/s). Chu kỳ T = 2.pi / omega = 60 (s).
L02: - Vị trí đích: a = pi = a_max / 2, tương ứng với li độ x = -A/2.
L03: - Trạng thái đầu (t = 0): v = 30 = v_max / 2. Vì v &gt; 0 và thế năng đang tăng (vật rời xa VTCB), nên vật ở li độ x = +A.sqrt(3)/2 và đang đi về biên dương (+A).
L04: - Hành trình: Từ +A.sqrt(3)/2 ra biên dương (+A), quay về VTCB (0), rồi đến vị trí đích x = -A/2.
L05: - Thời gian di chuyển:
L06: + Đoạn từ +A.sqrt(3)/2 ra biên dương (+A): t1 = T/12 = 60 / 12 = 5 (s).
L07: + Đoạn từ biên dương (+A) về VTCB (0): t2 = T/6 = 60 / 6 = 10 (s).
L08: + Đoạn từ VTCB (0) đến -A/2: t3 = T/12 = 5 (s).
L09: - Tổng thời gian: t = t1 + t2 + t3 = 5 + 10 + 5 = 20 (s).
L10: Thời điểm đầu tiên là t = 20 s.</t>
        </is>
      </c>
      <c r="E14" t="inlineStr">
        <is>
          <t>Dòng L01 có lỗi. Theo công thức trong Lời giải chuẩn Stage 1, tần số góc \(\omega\) được tính bằng cách chia gia tốc cực đại \(a_{\text{max}}\) cho vận tốc cực đại \(v_{\text{max}}\). Cụ thể, \(\omega = \frac{a_{\text{max}}}{v_{\text{max}}} = \frac{2\pi \text{ m/s}^2}{60 \text{ cm/s}} = \frac{2\pi \times 100 \text{ cm/s}^2}{60 \text{ cm/s}} = \frac{200\pi}{60} \text{ rad/s} = \frac{10\pi}{3} \text{ rad/s}\). Vì vậy, học sinh đã làm tròn sai hoặc bỏ qua đơn vị chuyển đổi, dẫn đến kết quả \(\omega = \frac{\pi}{30} \text{ rad/s}\) thay vì \(\omega = \frac{10\pi}{3} \text{ rad/s}\). Hãy kiểm tra lại phép tính và đảm bảo giữ nguyên đơn vị trong quá trình tính toán? ?</t>
        </is>
      </c>
      <c r="F14" t="n">
        <v>1</v>
      </c>
      <c r="G14" t="n">
        <v>3</v>
      </c>
      <c r="H14" t="inlineStr">
        <is>
          <t>Học sinh cần sử dụng công thức \(\omega = \frac{a_{\text{max}}}{v_{\text{max}}}\) với đơn vị thống nhất (cm/s và cm/s^2), và \(\omega = \frac{2\pi}{T}\) để tính đúng tần số góc và chu kỳ.</t>
        </is>
      </c>
      <c r="I14" t="n">
        <v>1</v>
      </c>
      <c r="J14" t="n">
        <v>2</v>
      </c>
    </row>
    <row r="15">
      <c r="A15" t="inlineStr">
        <is>
          <t>sub_14</t>
        </is>
      </c>
      <c r="B15" t="inlineStr">
        <is>
          <t>q_28</t>
        </is>
      </c>
      <c r="C15" t="inlineStr">
        <is>
          <t>L10,L11</t>
        </is>
      </c>
      <c r="D15" t="inlineStr">
        <is>
          <t>L01: - Tần số góc: \(\omega = \frac{a_{\text{max}}}{v_{\text{max}}} = \frac{2\pi}{0.6} = \frac{\pi}{0.3} = \frac{10\pi}{3}\) rad/s.
L02: - Chu kỳ \(T = \frac{2\pi}{\omega} = \frac{2\pi}{\frac{10\pi}{3}} = \frac{6}{10} = 0.6\) s.
L03: - Vị trí đích: \(a = \pi = \frac{a_{\text{max}}}{2}\), tương ứng với li độ \(x = -\frac{A}{2}\).
L04: - Trạng thái ban đầu (t = 0): \(v = 30 = \frac{v_{\text{max}}}{2}\). Vì \(v &gt; 0\) và thế năng đang tăng (vật rời xa VTCB), nên vật ở li độ \(x = +\frac{A\sqrt{3}}{2}\) và đang đi về biên dương (+A).
L05: - Hành trình: Từ \(+\frac{A\sqrt{3}}{2}\) ra biên dương (+A), quay về VTCB (0), rồi đến vị trí đích \(x = -\frac{A}{2}\).
L06: - Thời gian di chuyển:
L07: + Đoạn từ \(+\frac{A\sqrt{3}}{2}\) ra biên dương (+A): \(t_1 = \frac{T}{12}\).
L08: + Đoạn từ biên dương (+A) về VTCB (0): \(t_2 = \frac{T}{4}\).
L09: + Đoạn từ VTCB (0) đến \(-\frac{A}{2}\): \(t_3 = \frac{T}{12}\).
L10: - Tổng thời gian: \(t = t_1 + t_2 + t_3 = \frac{T}{12} + \frac{T}{4} + \frac{T}{12} = \frac{5T}{12}\).
L11: - Thay số: \(t = \frac{5 \times 0.6}{12} = \frac{3}{10} = 0.3\) s.
L12: [3. KẾ LUẬN]:
L13: Thời điểm đầu tiên là \(t = 0.3\) s.</t>
        </is>
      </c>
      <c r="E15" t="inlineStr">
        <is>
          <t>Dòng L11: Em đã tính tổng thời gian di chuyển là \(\frac{5 \times 0.6}{12} = \frac{3}{10} = 0.3\) s. Tuy nhiên, theo công thức Lời giải chuẩn, tổng thời gian di chuyển là \(\frac{5T}{12}\). Hãy kiểm tra lại phép tính của em, đặc biệt là cách em chia 5 cho 12 và nhân với 0.6. Tại sao em lại được \(\frac{3}{10}\) thay vì \(\frac{5}{12}\)? ?</t>
        </is>
      </c>
      <c r="F15" t="n">
        <v>0</v>
      </c>
      <c r="G15" t="n">
        <v>2</v>
      </c>
      <c r="H15" t="inlineStr">
        <is>
          <t>Hãy tính tổng thời gian di chuyển theo từng đoạn như trong Lời giải mẫu: \(t = \frac{T}{12} + \frac{T}{4} + \frac{T}{12} = \frac{5T}{12}\). Thay số \(T = 0.6\) s vào để được \(t = 0.25\) s.</t>
        </is>
      </c>
      <c r="I15" t="n">
        <v>1</v>
      </c>
      <c r="J15" t="n">
        <v>3</v>
      </c>
    </row>
    <row r="16">
      <c r="A16" t="inlineStr">
        <is>
          <t>sub_15</t>
        </is>
      </c>
      <c r="B16" t="inlineStr">
        <is>
          <t>q_29</t>
        </is>
      </c>
      <c r="C16" t="inlineStr">
        <is>
          <t>L02</t>
        </is>
      </c>
      <c r="D16" t="inlineStr">
        <is>
          <t>L01: - Thông số: A = 6 cm, ω = 4π rad/s, T = 1/2 s.
L02: - Pha đầu: x1 = 3 cm = A/2 và đi theo chiều dương (v &gt; 0) nên pha đầu phi1 = -π/6 rad.
L03: - Pha đích: x2 = -3√3 cm = -A√3/2. Để thời gian ngắn nhất (quay ngược chiều kim đồng hồ), pha đích là phi2 = 5π/6 rad.
L04: - Góc quay: delta_phi = phi2 - phi1.
L05: - Giá trị góc quay: delta_phi = 5π/6 - (-π/6) = 3π/2 rad.
L06: - Khoảng thời gian ngắn nhất là: delta_t = delta_phi / ω = (3π/2) / (4π) = 3/8 s.
L07: Khoảng thời gian ngắn nhất là delta_t = 3/8 s.</t>
        </is>
      </c>
      <c r="E16" t="inlineStr">
        <is>
          <t>L02: - Pha đầu: x1 = 3 cm = A/2 và đi theo chiều dương (v &gt; 0) nên pha đầu phi1 = -π/6 rad. Bản chất lỗi ở đây là học sinh đã tính sai giá trị pha đầu phi1. Theo công thức, khi \( x_1 = \frac{A}{2} \) và chuyển động theo chiều dương, pha ban đầu phi1 phải là \( -\arccos\left(\frac{x_1}{A}\right) \). Thay số vào, ta có \( \phi_1 = -\arccos\left(\frac{3}{6}\right) = -\arccos\left(\frac{1}{2}\right) = -\frac{\pi}{3} \) rad, không phải là -π/6 rad. Hãy thử tính lại giá trị pha đầu phi1 đúng theo công thức và xem kết quả như thế nào?</t>
        </is>
      </c>
      <c r="F16" t="n">
        <v>1</v>
      </c>
      <c r="G16" t="n">
        <v>3</v>
      </c>
      <c r="H16" t="inlineStr">
        <is>
          <t>Học sinh cần tính góc quay nhỏ nhất từ pha ban đầu \(\phi_1 = -\frac{\pi}{3}\) đến pha đích \(\phi_2 = \frac{5\pi}{6}\), nên \(\Delta\phi = \frac{5\pi}{6} - \left(-\frac{\pi}{3}\right) = \frac{7\pi}{6}\) rad.</t>
        </is>
      </c>
      <c r="I16" t="n">
        <v>1</v>
      </c>
      <c r="J16" t="n">
        <v>2</v>
      </c>
    </row>
    <row r="17">
      <c r="A17" t="inlineStr">
        <is>
          <t>sub_16</t>
        </is>
      </c>
      <c r="B17" t="inlineStr">
        <is>
          <t>q_30</t>
        </is>
      </c>
      <c r="C17" t="inlineStr">
        <is>
          <t>L06</t>
        </is>
      </c>
      <c r="D17" t="inlineStr">
        <is>
          <t>L01: Với N = 2017 (lẻ), ta tách N = 2016 + 1. Trong 2016 lần, vật thực hiện k = 2016/2 = 1008 chu kỳ. Thời điểm cần tìm là t2017 = 1008.T + t1, với t1 là thời gian vật đạt li độ x = -2,5 cm lần đầu tiên.
L02: - Thông số: omega = 5π rad/s =&gt; T = 2π/(5π) = 0,4 s.
L03: - Vị trí ban đầu: phi0 = -π/3 rad.
L04: - Số chu kỳ: k = 1008.
L05: - Thời gian lẻ (t1): Từ phi0 = -π/3 đến x = -2,5 (tức x = -A/2 lần 1) tương ứng pha phi1 = 2π/3.
L06: + Góc quay: delta_phi = 2π/3 - (-π/3) = 2π/3 + π/3 = 1,047 rad.
L07: + Thời gian: t1 = delta_phi / omega = 1,047 / 5π ≈ 0,066 s.
L08: - Kết quả: t2017 = 1008 * 0,4 + 0,066 = 403,2 + 0,066 = 403,266 s.
L09: Thời điểm vật qua li độ x = -2,5 cm lần thứ 2017 là t = 403,266 s.</t>
        </is>
      </c>
      <c r="E17" t="inlineStr">
        <is>
          <t>Sử dụng giá trị góc quay $\Delta \phi = \pi$ rad và tần số góc $\omega = 5\pi$ rad/s trong Lời giải mẫu, học sinh nên tính thời gian lẻ $t_1$ như sau: $t_1 = \frac{\Delta \phi}{\omega} = \frac{\pi}{5\pi} = \frac{1}{5} = 0,2$ s.</t>
        </is>
      </c>
      <c r="F17" t="n">
        <v>1</v>
      </c>
      <c r="G17" t="n">
        <v>2</v>
      </c>
      <c r="H17" t="inlineStr">
        <is>
          <t>Dòng L06 có lỗi tại cách tính góc quay \(\Delta \phi\). Theo công thức chuẩn, bạn nên cộng các góc như sau: \[
\Delta \phi = \phi - \phi_0 = \frac{2\pi}{3} - \left(-\frac{\pi}{3}\right) = \frac{2\pi}{3} + \frac{\pi}{3} = \pi \text{ rad}
\] Tuy nhiên, học sinh đã tính sai thành \(\frac{2\pi}{3} + \frac{\pi}{3} = 1.047\) rad. Đây là kết quả của việc làm tròn sai hoặc sử dụng giá trị số học thay vì biểu thức chính xác \(\pi\). Hãy thử tính lại \(\Delta \phi\) đúng theo công thức và xem kết quả là bao nhiêu?</t>
        </is>
      </c>
      <c r="I17" t="n">
        <v>1</v>
      </c>
      <c r="J17" t="n">
        <v>3</v>
      </c>
    </row>
    <row r="18">
      <c r="A18" t="inlineStr">
        <is>
          <t>sub_17</t>
        </is>
      </c>
      <c r="B18" t="inlineStr">
        <is>
          <t>q_31</t>
        </is>
      </c>
      <c r="C18" t="inlineStr">
        <is>
          <t>L04,L06</t>
        </is>
      </c>
      <c r="D18" t="inlineStr">
        <is>
          <t>L01: - **Tại t1:** Vật qua VTCB nên \( v_1 = \text{vmax} \).
L02: - **Tại t2:** \( v_2 = \frac{\text{vmax}}{2} \). Áp dụng công thức liên hệ \( x^2 + \left(\frac{v^2}{\omega^2}\right) = A^2 \), suy ra \( x_2 = \frac{A\sqrt{3}}{2} \).
L03: - **Thời gian \( t2 - t1 = \frac{1}{6} \) s = \( \frac{T}{6} \):** Chu kỳ \( T = 6 \times \frac{1}{6} = 1 \) s và \( \omega = \frac{2\pi}{T} = 2\pi \) rad/s.
L04: - **Tại t3:** Khoảng thời gian \( t3 - t2 = \frac{1}{6} \) s. Vật đi từ \( x_2 = \frac{A\sqrt{3}}{2} \) ra biên (mất \( \frac{1}{12} \) s) rồi quay lại đúng vị trí đó (mất thêm \( \frac{1}{12} \) s), nên quãng đường \( S = 2(A - \frac{A\sqrt{3}}{2}) = A(2 - \frac{\sqrt{3}}{2}) \).
L05: - **Chu kỳ \( T = 1 \) s.** \( \omega = 2\pi \) rad/s.
L06: - **Quãng đường \( S = A(2 - \frac{\sqrt{3}}{2}) = 6 \) cm.** Suy ra \( A = \frac{6}{2 - \frac{\sqrt{3}}{2}} = \frac{6}{2 - 1.732} = \frac{6}{0.268} = 22.39 \) cm.
L07: - **Tốc độ cực đại:** \( \text{vmax} = \omega A = 2\pi \times 22.39 = 141.38 \) cm/s.
L08: Tốc độ cực đại của vật trong quá trình dao động là \( \boxed{141.38 \text{ cm/s}} \).</t>
        </is>
      </c>
      <c r="E18" t="inlineStr">
        <is>
          <t>Dòng L06 có lỗi. Học sinh đã viết sai biểu thức quãng đường \( S \) tại thời điểm \( t_3 \). Theo lời giải chuẩn, quãng đường \( S \) từ \( t_2 \) đến \( t_3 \) là \( 6 \) cm, và nó được tính từ \( x_2 = \frac{A\sqrt{3}}{2} \) đến biên \( A \), sau đó quay lại \( x_2 \). Do đó, quãng đường \( S \) phải là \( 2 \left( A - \frac{A\sqrt{3}}{2} \right) = A \left( 2 - \sqrt{3} \right) \). Học sinh đã nhầm lẫn biểu thức này thành \( S = A \left( 2 - \frac{\sqrt{3}}{2} \right) \). Hãy kiểm tra lại công thức và tính lại giá trị \( A \)?</t>
        </is>
      </c>
      <c r="F18" t="n">
        <v>1</v>
      </c>
      <c r="G18" t="n">
        <v>3</v>
      </c>
      <c r="H18" t="inlineStr">
        <is>
          <t>Sử dụng công thức \( S = A(2 - \sqrt{3}) \) thay vì \( S = A(2 - \frac{\sqrt{3}}{2}) \).</t>
        </is>
      </c>
      <c r="I18" t="n">
        <v>1</v>
      </c>
      <c r="J18" t="n">
        <v>2</v>
      </c>
    </row>
    <row r="19">
      <c r="A19" t="inlineStr">
        <is>
          <t>sub_18</t>
        </is>
      </c>
      <c r="B19" t="inlineStr">
        <is>
          <t>q_31</t>
        </is>
      </c>
      <c r="C19" t="inlineStr">
        <is>
          <t>L03</t>
        </is>
      </c>
      <c r="D19" t="inlineStr">
        <is>
          <t>L01: - Tại t1: Vật qua VTCB nên v1 = vmax.
L02: - Tại t2: v2 = vmax/2. Áp dụng công thức liên hệ x^2 + (v^2 / omega^2) = A^2, suy ra li độ x2 = A.sqrt(3)/2.
L03: - Thời gian t2 - t1 = 1/6 s = T/6 =&gt; Chu kỳ T = 0,5 s và omega = 4.pi rad/s.
L04: - Tại t3: Thời gian t3 - t2 = T/6. Vật đi từ A.sqrt(3)/2 ra biên rồi quay lại đúng vị trí đó nên S = 2.(A - A.sqrt(3)/2) = A.(2 - sqrt(3)).
L05: - Chu kỳ T = 6 . (1/6) = 0,5 s. Omega = 2.pi / 0,5 = 4.pi rad/s.
L06: - Quãng đường S = A.(2 - sqrt(3)) = 6 cm. Suy ra A = 6 / (2 - 1,732) = 22,39 cm.
L07: - Tốc độ cực đại: vmax = omega . A = 4 . 3,14 . 22,39 = 281,22 (cm/s).
L08: Tốc độ cực đại là v_max = 281,22 cm/s.</t>
        </is>
      </c>
      <c r="E19" t="inlineStr">
        <is>
          <t>Dòng L03 có vấn đề. Theo lời giải chuẩn, thời gian từ \( t_1 \) đến \( t_2 \) là \( \frac{T}{6} \), và từ đó ta suy ra chu kỳ \( T = 6 \times \frac{1}{6} = 1 \) s. Học sinh đã nhầm lẫn và tính chu kỳ \( T \) thành 0,5 s, dẫn đến sai sót. Hãy kiểm tra lại chu kỳ \( T \) và tần số góc \( \omega \) dựa trên thời gian từ \( t_1 \) đến \( t_2 \)?</t>
        </is>
      </c>
      <c r="F19" t="n">
        <v>1</v>
      </c>
      <c r="G19" t="n">
        <v>3</v>
      </c>
      <c r="H19" t="inlineStr">
        <is>
          <t>Chu kỳ \( T \) phải là 1 s và tần số góc \( \omega \) phải là \( 2\pi \) rad/s.</t>
        </is>
      </c>
      <c r="I19" t="n">
        <v>1</v>
      </c>
      <c r="J19" t="n">
        <v>2</v>
      </c>
    </row>
    <row r="20">
      <c r="A20" t="inlineStr">
        <is>
          <t>sub_19</t>
        </is>
      </c>
      <c r="B20" t="inlineStr">
        <is>
          <t>q_32</t>
        </is>
      </c>
      <c r="C20" t="inlineStr">
        <is>
          <t>L05</t>
        </is>
      </c>
      <c r="D20" t="inlineStr">
        <is>
          <t>L01: #### a) Xác định trạng thái đầu
L02: Vị trí của vật khi có li độ dương lớn nhất là biên dương (x = +A). Đây là trạng thái bắt đầu của vật.
L03: #### b) Phân tích tỉ lệ năng lượng
L04: Dựa vào giả thiết động năng (Wđ) và thế năng (Wt), chúng ta áp dụng công thức bảo toàn cơ năng (W = Wđ + Wt):
L05: \[ W_{đ} = \frac{1}{2} k x^{2} \]
L06: \[ W_{t} = \frac{1}{2} k A^{2} \]
L07: Trong trường hợp này, Wđ = Wt vì vật đang ở trạng thái biên dương. Do đó, chúng ta có:
L08: \[ \frac{1}{2} k x^{2} = \frac{1}{2} k A^{2} \]
L09: Sử dụng công thức W = 1/2.k.x^2, ta có thể viết:
L10: \[ \frac{1}{2} k x^{2} = \frac{1}{2} k A^{2} \Rightarrow x^{2} = A^{2} \Rightarrow x = ±A \]
L11: Vì đây là trạng thái biên dương, nên x = +A.
L12: #### c) Suy ra li độ
L13: Kết hợp với công thức W = 1/2.k.x^2, ta có:
L14: \[ \frac{1}{2} k x^{2} = \frac{1}{2} k A^{2} \Rightarrow x^{2} = A^{2} \Rightarrow x = ±A \]
L15: Với x = +A, ta có:
L16: \[ W_{đ} = \frac{1}{2} k A^{2} \]
L17: \[ W_{t} = \frac{1}{2} k A^{2} \]
L18: Do đó, Wđ = Wt.
L19: #### d) Kết luận
L20: Vậy, thời điểm đầu tiên mà động năng và thế năng của vật bằng nhau là khi vật ở trạng thái biên dương (x = +A).
L21: #### a) Xác định hành trình
L22: Vật dao động điều hòa với chu kì T, nên hành trình của vật trong một chu kỳ là A. Trong trường hợp này, vật đã di chuyển từ vị trí biên dương (x = +A) đến vị trí x = +A.
L23: #### b) Áp dụng trục thời gian
L24: Trong một chu kỳ, thời gian cần để vật di chuyển từ biên dương đến vị trí x = +A là 1/4 chu kì (t = T/4). Vì vậy, thời gian ngắn nhất để động năng bằng thế năng là 1/4 chu kì.
L25: #### c) Kết luận
L26: Thời điểm đầu tiên động năng bằng thế năng là t = T/4.
L27: Thời điểm đầu tiên động năng bằng thế năng là t = T/4.</t>
        </is>
      </c>
      <c r="E20" t="inlineStr">
        <is>
          <t>Theo Lời giải mẫu, thời điểm đầu tiên mà động năng và thế năng bằng nhau là \( \frac{1}{8} T \). Hãy sử dụng công thức \( \Delta t = \frac{\Delta \phi}{2\pi} \cdot T \) với \( \Delta \phi = \frac{\pi}{4} \) để tính lại thời gian.</t>
        </is>
      </c>
      <c r="F20" t="n">
        <v>0</v>
      </c>
      <c r="G20" t="n">
        <v>1</v>
      </c>
      <c r="H20" t="inlineStr">
        <is>
          <t>Dòng L05: Wđ = \(\frac{1}{2} k x^{2}\) Biểu thức này không chính xác. Theo lời giải chuẩn Stage 1, khi động năng bằng thế năng, ta có:
\[ \frac{1}{2} m v^2 = \frac{1}{2} k x^2 \]
Nhưng học sinh đã bỏ qua khối lượng \( m \) và sử dụng công thức thế năng thay cho công thức động năng. Điều này làm sai lệch biểu thức. Hãy thử lại với công thức động năng đúng là \(\frac{1}{2} m v^2\) và so sánh với công thức thế năng \(\frac{1}{2} k x^2\). Bạn có thể làm gì để hai biểu thức này trở nên tương đương? ?</t>
        </is>
      </c>
      <c r="I20" t="n">
        <v>1</v>
      </c>
      <c r="J20" t="n">
        <v>3</v>
      </c>
    </row>
    <row r="21">
      <c r="A21" t="inlineStr">
        <is>
          <t>sub_20</t>
        </is>
      </c>
      <c r="B21" t="inlineStr">
        <is>
          <t>q_33</t>
        </is>
      </c>
      <c r="C21" t="inlineStr">
        <is>
          <t>L06</t>
        </is>
      </c>
      <c r="D21" t="inlineStr">
        <is>
          <t>L01: - Thông số: ω = 10π rad/s, A = √2 cm, v = 10π cm/s.
L02: - Hệ thức: (v/vmax)^2 + (a/amax)^2 = 1.
L03: - Bước 1: vmax = ω . A = 10π . √2 = 10√2 π (cm/s).
L04: - Bước 2: amax = ω^2 . A = (10π)^2 . √2 = 100π^2 . √2 (cm/s^2).
L05: - Bước 3: (10π / 10√2 π)^2 + (a / 100π^2 . √2)^2 = 1.
L06: =&gt; 1/4 + (a / 100π^2 . √2)^2 = 1 =&gt; (a / 100π^2 . √2)^2 = 3/4.
L07: =&gt; |a| = 100π^2 . √2 . sqrt(3)/2 = 50π^2 . √6 (cm/s^2).
L08: - Bước 4 (Xấp xỉ): Với π^2 ≈ 9,86 y √6 ≈ 2,45, ta có |a| ≈ 50 . 9,86 . 2,45 = 1230,5 (cm/s^2).
L09: Độ lớn gia tốc xấp xỉ là 1230,5 cm/s^2.</t>
        </is>
      </c>
      <c r="E21" t="inlineStr">
        <is>
          <t>Hãy sử dụng công thức \(\left(\frac{v}{v_{\text{max}}}\right)^2 + \left(\frac{a}{a_{\text{max}}}\right)^2 = 1\) từ Lời giải mẫu để tiếp tục tính toán.</t>
        </is>
      </c>
      <c r="F21" t="n">
        <v>0</v>
      </c>
      <c r="G21" t="n">
        <v>1</v>
      </c>
      <c r="H21" t="inlineStr">
        <is>
          <t>Dòng L06 có lỗi ở chỗ học sinh đã làm tròn sai số trong quá trình tính toán. Theo công thức chuẩn, ta có: \[
\left(\frac{v}{v_{\text{max}}}\right)^2 = \left(\frac{10\pi}{10\pi \sqrt{2}}\right)^2 = \left(\frac{1}{\sqrt{2}}\right)^2 = \frac{1}{2}
\] Sau đó, ta thay vào công thức gia tốc: \[
|a| = a_{\text{max}} \sqrt{1 - \left(\frac{1}{2}\right)} = 100\pi^2 \sqrt{2} \sqrt{\frac{1}{2}} = 100\pi^2
\] Học sinh nên chú ý giữ nguyên giá trị chính xác trong quá trình tính toán, không nên làm tròn quá sớm. Vậy, tại sao bạn không thử tính lại biểu thức \(100\pi^2\) mà không làm tròn cho đến khi cần thiết?</t>
        </is>
      </c>
      <c r="I21" t="n">
        <v>1</v>
      </c>
      <c r="J21" t="n">
        <v>3</v>
      </c>
    </row>
    <row r="22">
      <c r="A22" t="inlineStr">
        <is>
          <t>sub_21</t>
        </is>
      </c>
      <c r="B22" t="inlineStr">
        <is>
          <t>q_33</t>
        </is>
      </c>
      <c r="C22" t="inlineStr">
        <is>
          <t>L09</t>
        </is>
      </c>
      <c r="D22" t="inlineStr">
        <is>
          <t>L01: - Thông số: A = √2 cm, omega = 10π rad/s, v = 10π cm/s.
L02: - Hệ thức: (v/vmax)^2 + (a/amax)^2 = 1.
L03: - Công thức: vmax = omega . A; amax = omega^2 . A.
L04: - Bước 1: vmax = 10π . √2 = 10π√2 (cm/s).
L05: - Bước 2: amax = (10π)^2 . √2 = 100π^2 . √2 (cm/s^2).
L06: - Bước 3: (10π / 10π√2)^2 + (a / 100π^2√2)^2 = 1.
L07: =&gt; 1/2 + (a / 100π^2√2)^2 = 1 =&gt; (a / 100π^2√2)^2 = 1/2.
L08: =&gt; |a| = 100π^2√2 / sqrt(2) = 100π^2 (cm/s^2).
L09: - Bước 4 (Xấp xỉ): Với π^2 = 9,87 và √2 = 1,41, ta có |a| = 100 . 9,87 . 1,41 = 1385,4 (cm/s^2).
L10: Độ lớn gia tốc xấp xỉ là 1385,4 cm/s^2.</t>
        </is>
      </c>
      <c r="E22" t="inlineStr">
        <is>
          <t>Học sinh đã làm đúng đến bước này, nên không cần sửa. Tiếp tục sử dụng giá trị \(\pi^2 = 10\) từ Lời giải mẫu để tính toán.</t>
        </is>
      </c>
      <c r="F22" t="n">
        <v>0</v>
      </c>
      <c r="G22" t="n">
        <v>1</v>
      </c>
      <c r="H22" t="inlineStr">
        <is>
          <t>Dòng L09 có lỗi do phép tính số học bị sai. Theo công thức chuẩn, gia tốc \(|a|\) được tính như sau: \[ |a| = 100\pi^2 \] Học sinh đã thay thế \(\pi^2\) bằng 9,87 và \(\sqrt{2}\) bằng 1,41, nhưng giá trị chính xác của \(\pi^2\) là khoảng 9,87, và \(\sqrt{2}\) là khoảng 1,414. Do đó, phép tính nên giữ nguyên biểu thức \(\pi^2\) mà không cần làm tròn. Hãy thử tính lại \(100\pi^2\) mà không làm tròn \(\pi^2\) và xem kết quả như thế nào?</t>
        </is>
      </c>
      <c r="I22" t="n">
        <v>1</v>
      </c>
      <c r="J22" t="n">
        <v>2</v>
      </c>
    </row>
    <row r="23">
      <c r="A23" t="inlineStr">
        <is>
          <t>sub_22</t>
        </is>
      </c>
      <c r="B23" t="inlineStr">
        <is>
          <t>q_34</t>
        </is>
      </c>
      <c r="C23" t="inlineStr">
        <is>
          <t>L13</t>
        </is>
      </c>
      <c r="D23" t="inlineStr">
        <is>
          <t>L01: - **Khoảng thời gian |v| &lt;= vx**: Đây là khoảng thời gian mà vận tốc không vượt quá 20π√3 cm/s. Theo quy tắc, nếu |v| &lt;= vx, thì vật đang ở vùng gần biên. Do đó, khoảng thời gian này là 2T/3.
L02: - **Khoảng thời gian |v| &gt; vx**: Đây là khoảng thời gian mà vận tốc vượt quá 20π√3 cm/s. Theo quy tắc, nếu |v| &gt; vx, thì vật đang ở vùng gần VTCB. Do đó, khoảng thời gian này là T - 2T/3 = T/3.
L03: - **Thời gian vật đi từ VTCB đến vị trí có tốc độ vx**: Nếu |v| &gt; vx, thì vật cần mất khoảng thời gian T/3 để di chuyển từ VTCB đến vị trí có tốc độ vx. Vì vậy, thời gian vật đi từ VTCB đến vị trí có tốc độ vx là T/3.
L04: - **Li độ của vật**: Li độ của vật khi vận tốc đạt đến vx là A/2, vì A là biên độ của dao động.
L05: - **Hệ thức độc lập**: A^2 = (A/2)^2 + vx^2 / ω^2.
L06: - **Suy ra vx**: Từ hệ thức độc lập, ta có vx^2 / ω^2 = 3A^2 / 4. Thay A = 10 cm, ta có vx^2 / ω^2 = 75. Giải phương trình này, ta có vx = ω * √75 cm/s.
L07: - **Suy ra ω**: Từ vx = ω * √75 cm/s, ta có ω = vx / √75 cm/s.
L08: - **Chu kì T**: Chu kì T = 2π / ω.
L09: - Chu kì T = 2π / ω = 2π / (vx / √75) = 2π * √75 / vx.
L10: ### Kết quả:
L11: Trong trường hợp này, chúng ta không thể tính toán trực tiếp vì chưa biết giá trị của vx. Tuy nhiên, dựa trên thông tin ban đầu, chúng ta có thể suy luận rằng:
L12: - Chu kì T = 2π / ω = 2π / (vx / √75) = 2π * √75 / vx.
L13: - Chu kì T = 2π * √75 / (20π√3) = π * √75 / 10 ≈ 1.96 s.
L14: Do đó, chu kì dao động của chất điểm là approximately 1.96 s.</t>
        </is>
      </c>
      <c r="E23" t="inlineStr">
        <is>
          <t>Dòng L13: Em đã tính chu kì \( T \) như sau: \( T = \frac{2\pi \cdot \sqrt{75}}{20\pi\sqrt{3}} \). Em đã rút gọn biểu thức này thành \( T = \frac{\pi \cdot \sqrt{75}}{10} \approx 1.96 \, \text{s} \). Theo công thức của lời giải chuẩn, em đã làm tròn sai ở đây. Biểu thức \( \frac{2\pi \cdot \sqrt{75}}{20\pi\sqrt{3}} \) có thể rút gọn thành \( \frac{\sqrt{75}}{10\sqrt{3}} \). Khi rút gọn, em cần giữ nguyên dạng căn bậc hai để tránh làm tròn sai. Thực tế, \( \sqrt{75} = \sqrt{25 \cdot 3} = 5\sqrt{3} \), nên biểu thức trở thành \( \frac{5\sqrt{3}}{10\sqrt{3}} = \frac{5}{10} = \frac{1}{2} \). Vậy, chu kì \( T \) đúng là \( \frac{1}{2} \, \text{s} \). Em hãy thử tính lại và kiểm tra xem kết quả có đúng không?</t>
        </is>
      </c>
      <c r="F23" t="n">
        <v>1</v>
      </c>
      <c r="G23" t="n">
        <v>2</v>
      </c>
      <c r="H23" t="inlineStr">
        <is>
          <t>Sử dụng công thức \(\omega \cdot \frac{A}{2} = 20\pi\sqrt{3}\) từ Lời giải mẫu, học sinh có thể tính \(\omega = 4\pi\).</t>
        </is>
      </c>
      <c r="I23" t="n">
        <v>0</v>
      </c>
      <c r="J23" t="n">
        <v>1</v>
      </c>
    </row>
    <row r="24">
      <c r="A24" t="inlineStr">
        <is>
          <t>sub_23</t>
        </is>
      </c>
      <c r="B24" t="inlineStr">
        <is>
          <t>q_35</t>
        </is>
      </c>
      <c r="C24" t="inlineStr">
        <is>
          <t>L09,L15</t>
        </is>
      </c>
      <c r="D24" t="inlineStr">
        <is>
          <t>L01: - **Dữ kiện:**
L02: - Thời điểm \(t_1\): Li độ \(x_1 = 3\) cm, vận tốc \(v_1 = -60\sqrt{3}\) cm/s.
L03: - Thời điểm \(t_2\): Li độ \(x_2 = -3\sqrt{2}\) cm, vận tốc \(v_2 = -60\sqrt{2}\) cm/s.
L04: - **Áp dụng hệ thức độc lập:**
L05: x_1^2 + \left(\frac{v_1}{\omega}\right)^2 = x_2^2 + \left(\frac{v_2}{\omega}\right)^2
L06: - **Chuyển vế:**
L07: \left(\frac{v_1}{\omega}\right)^2 - \left(\frac{v_2}{\omega}\right)^2 = x_2^2 - x_1^2
L08: - **Suy ra công thức:**
L09: \omega = \sqrt{\frac{x_2^2 - x_1^2}{v_1^2 - v_2^2}}
L10: - **Bước 1:** Tính hiệu bình phương vận tốc:
L11: v_1^2 - v_2^2 = (-60\sqrt{3})^2 - (-60\sqrt{2})^2 = 10800 - 7200 = 3600
L12: - **Bước 2:** Tính hiệu bình phương li độ:
L13: x_2^2 - x_1^2 = (-3\sqrt{2})^2 - 3^2 = 18 - 9 = 9
L14: - **Bước 3:** Tính omega:
L15: \omega = \sqrt{\frac{9}{3600}} = \sqrt{\frac{1}{400}} = \frac{1}{20} \text{ rad/s}
L16: - **Bước 4:** Tính A:
L17: A^2 = x_1^2 + \left(\frac{v_1}{\omega}\right)^2 = 3^2 + \left(\frac{-60\sqrt{3}}{\frac{1}{20}}\right)^2 = 9 + (1200)^2 = 9 + 1440000 = 1440009
L18: A = \sqrt{1440009} = 1201 \text{ cm}
L19: - **Biên độ A:** 1201 cm
L20: - **Tần số góc omega:** \(\frac{1}{20}\) rad/s
L21: Vậy, biên độ A = 1201 cm và tần số góc omega = \(\frac{1}{20}\) rad/s.</t>
        </is>
      </c>
      <c r="E24" t="inlineStr">
        <is>
          <t>Dòng L09 có vấn đề. Học sinh đã viết sai biểu thức tần số góc \(\omega\). Theo lời giải chuẩn, công thức để tính tần số góc \(\omega\) là:
\[ \omega = \sqrt{\frac{v_1^2 - v_2^2}{x_2^2 - x_1^2}} \]
Trong khi học sinh đã viết:
\[ \omega = \sqrt{\frac{x_2^2 - x_1^2}{v_1^2 - v_2^2}} \]
Đây là ngược lại so với công thức chuẩn. Hãy kiểm tra lại công thức và tính lại \(\omega\) đúng cách. Bạn có thể làm gì để sửa lại công thức này?</t>
        </is>
      </c>
      <c r="F24" t="n">
        <v>1</v>
      </c>
      <c r="G24" t="n">
        <v>3</v>
      </c>
      <c r="H24" t="inlineStr">
        <is>
          <t>Học sinh cần tính tần số góc \(\omega\) đúng như trong Lời giải mẫu: \(\omega = \sqrt{\frac{v_1^2 - v_2^2}{x_2^2 - x_1^2}} = \sqrt{\frac{3600}{9}} = 20 \text{ rad/s}\).</t>
        </is>
      </c>
      <c r="I24" t="n">
        <v>1</v>
      </c>
      <c r="J24" t="n">
        <v>2</v>
      </c>
    </row>
    <row r="25">
      <c r="A25" t="inlineStr">
        <is>
          <t>sub_24</t>
        </is>
      </c>
      <c r="B25" t="inlineStr">
        <is>
          <t>q_35</t>
        </is>
      </c>
      <c r="C25" t="inlineStr">
        <is>
          <t>L08,L09</t>
        </is>
      </c>
      <c r="D25" t="inlineStr">
        <is>
          <t>L01: - Dữ kiện: (x1 = 3 cm; v1 = -60.sqrt(3) cm/s) và (x2 = -3.sqrt(2) cm; v2 = -60.sqrt(2) cm/s).
L02: - Áp dụng hệ thức độc lập: x1^2 + (v1/omega)^2 = x2^2 + (v2/omega)^2.
L03: - Biến đổi: (v1/omega)^2 - (v2/omega)^2 = x2^2 - x1^2 =&gt; omega = sqrt[ (v1^2 - v2^2) / (x2^2 - x1^2) ].
L04: - Bước 1: v1^2 - v2^2 = (-60.sqrt(3))^2 - (-60.sqrt(2))^2 = 10800 - 7200 = 3600.
L05: - Bước 2: x2^2 - x1^2 = (-3.sqrt(2))^2 - 3^2 = 18 - 9 = 9.
L06: - Bước 3: omega = sqrt(3600 / 9) = sqrt(400) = 20 (rad/s).
L07: - Bước 4: Tính A: A^2 = x1^2 + (v1/omega)^2 = 3^2 + (-60.sqrt(3) / 20)^2.
L08: - Bước 4.1: (v1/omega)^2 = (-60.sqrt(3) / 20)^2 = 900 / 400 = 9 / 4.
L09: - Bước 4.2: A^2 = 9 + 9 / 4 = 36 / 4 + 9 / 4 = 45 / 4.
L10: - Bước 4.3: A = sqrt(45 / 4) = 3.sqrt(5) / 2 (cm).
L11: Biên độ A = 3.sqrt(5) / 2 cm ≈ 3.35 cm và Tần số góc omega = 20 rad/s.</t>
        </is>
      </c>
      <c r="E25" t="inlineStr">
        <is>
          <t>Dòng L08: Em đã tính \((-60\sqrt{3} / 20)^2\) và kết quả là \(900 / 400\), nhưng thực tế giá trị này phải là 27. Hãy kiểm tra lại phép tính này, em nhé. Theo công thức, ta có: \[
\left(\frac{-60\sqrt{3}}{20}\right)^2 = \left(-3\sqrt{3}\right)^2 = 9 \cdot 3 = 27
\] Em thử tính lại xem sao?</t>
        </is>
      </c>
      <c r="F25" t="n">
        <v>1</v>
      </c>
      <c r="G25" t="n">
        <v>3</v>
      </c>
      <c r="H25" t="inlineStr">
        <is>
          <t>Học sinh nên tiếp tục tính \( A \) như sau: \( A^2 = 9 + 27 = 36 \), do đó \( A = \sqrt{36} = 6 \, \text{cm} \).</t>
        </is>
      </c>
      <c r="I25" t="n">
        <v>1</v>
      </c>
      <c r="J25" t="n">
        <v>2</v>
      </c>
    </row>
    <row r="26">
      <c r="A26" t="inlineStr">
        <is>
          <t>sub_25</t>
        </is>
      </c>
      <c r="B26" t="inlineStr">
        <is>
          <t>q_36</t>
        </is>
      </c>
      <c r="C26" t="inlineStr">
        <is>
          <t>L18,L19,L20,L23,L25</t>
        </is>
      </c>
      <c r="D26" t="inlineStr">
        <is>
          <t>L01: 1. **Phương trình dao động**: x = Acos(ωt)
L02: - ω là góc dao động (đơn vị: rad/s)
L03: - t là thời gian (đơn vị: s)
L04: 2. **Gia tốc**: a = d²x/dt²
L05: - Từ phương trình dao động, ta có: a = -ω²x
L06: 3. **Độ lớn gia tốc cực đại**: max(a) = ω²A
L07: 4. **Độ lớn gia tốc cần tìm**: max(a)/2 = ω²A/2
L08: Dựa vào thông tin đã cho, ta có:
L09: - ω = 4π rad/s
L10: - A là độ lớn của vật dao động
L11: Ta cần tìm khoảng thời gian ngắn nhất từ t = 0 đến khi gia tốc đạt độ lớn bằng ω²A/2.
L12: Giải bài toán:
L13: 1. **Tính gia tốc cực đại**:
L14: - max(a) = ω²A = (4π)²A = 16π²A
L15: 2. **Tính gia tốc cần tìm**:
L16: - max(a)/2 = (16π²A)/2 = 8π²A
L17: 3. **Tính thời gian ngắn nhất**:
L18: - Từ a = -ω²x, khi a = 8π²A, ta có: 8π²A = -ω²x
L19: - x = -8π²A / ω² = -(8π²A) / (4π)² = -(8π²A) / 16π² = -1/2A
L20: - Ta có: x = -1/2A
L21: - Từ x = Acos(ωt), ta có: Acos(ωt) = -1/2A
L22: - cos(ωt) = -1/2
L23: - ωt = π + 2kπ hoặc ωt = 3π + 2kπ (k là số nguyên)
L24: - Tuy nhiên, trong trường hợp này, ta chỉ cần xem xét k = 0 vì chúng ta đang tìm thời gian ngắn nhất từ t = 0.
L25: - ωt = π
L26: - t = π / (4π) = 1/4s
L27: Vậy, khoảng thời gian ngắn nhất từ t = 0 để gia tốc của vật đạt độ lớn bằng một nửa độ lớn gia tốc cực đại là 1/4s.</t>
        </is>
      </c>
      <c r="E26" t="inlineStr">
        <is>
          <t>Học sinh nên sử dụng giá trị \( x = \frac{A}{2} \) thay vì \( x = -\frac{1}{2}A \) để tìm thời gian ngắn nhất.</t>
        </is>
      </c>
      <c r="F26" t="n">
        <v>1</v>
      </c>
      <c r="G26" t="n">
        <v>2</v>
      </c>
      <c r="H26" t="inlineStr">
        <is>
          <t>Dòng L25: ωt == π Trong công thức \( \cos(4\pi t) = \frac{1}{2} \), các giá trị của \( t \) mà \( \cos \) bằng \(\frac{1}{2}\) là \( \frac{\pi}{3} \) và \( \frac{5\pi}{3} \). Tuy nhiên, bạn đã viết \( \omega t = \pi \), dẫn đến kết quả \( t = \frac{1}{4} \) s, trong khi giá trị đúng là \( t = \frac{\pi}{3 \cdot 4\pi} = \frac{1}{12} \) s. Điều này xuất phát từ việc bạn đã nhầm lẫn giữa các giá trị của \( \theta \) mà \( \cos \theta = \frac{1}{2} \). Hãy thử lại với \( \omega t = \frac{\pi}{3} \) và xem kết quả như thế nào?</t>
        </is>
      </c>
      <c r="I26" t="n">
        <v>0</v>
      </c>
      <c r="J26" t="n">
        <v>2</v>
      </c>
    </row>
    <row r="27">
      <c r="A27" t="inlineStr">
        <is>
          <t>sub_26</t>
        </is>
      </c>
      <c r="B27" t="inlineStr">
        <is>
          <t>q_37</t>
        </is>
      </c>
      <c r="C27" t="inlineStr">
        <is>
          <t>L04</t>
        </is>
      </c>
      <c r="D27" t="inlineStr">
        <is>
          <t>L01: Khi động năng bằng thế năng (Wđ = Wt), li độ x thỏa mãn x^2 = A^2 / 2. Sử dụng hệ thức độc lập với thời gian (A^2 = x^2 + v^2 / omega^2), ta rút ra công thức tính biên độ trực tiếp từ tốc độ A = (v * sqrt(2)) / omega.
L02: - Tham số omega = 10 rad/s; v = 0,6 m/s.
L03: - Công thức A = (v * sqrt(2)) / omega.
L04: - Thay số: A = (0,6 * sqrt(2)) / 10 = 0,077 (m).
L05: Biên độ dao động của con lắc là A = 0,077 m.</t>
        </is>
      </c>
      <c r="E27" t="inlineStr">
        <is>
          <t>Dòng L04 có lỗi tại đây: Trong công thức \(A = \frac{0.6 \times \sqrt{2}}{10}\), em đã tính sai kết quả. Theo công thức của lời giải chuẩn, ta có \(A = \frac{v \sqrt{2}}{\omega}\). Với \(v = 0.6 \, \text{m/s}\) và \(\omega = 10 \, \text{rad/s}\), ta cần tính \(0.6 \times \sqrt{2}\) trước, sau đó chia cho 10. Hãy thử tính lại và kiểm tra kết quả?</t>
        </is>
      </c>
      <c r="F27" t="n">
        <v>1</v>
      </c>
      <c r="G27" t="n">
        <v>3</v>
      </c>
      <c r="H27" t="inlineStr">
        <is>
          <t>Học sinh nên giữ nguyên số thập phân của tần số góc, tức là \(A = \frac{0.6 \times \sqrt{2}}{10.0}\).</t>
        </is>
      </c>
      <c r="I27" t="n">
        <v>0</v>
      </c>
      <c r="J27" t="n">
        <v>1</v>
      </c>
    </row>
    <row r="28">
      <c r="A28" t="inlineStr">
        <is>
          <t>sub_27</t>
        </is>
      </c>
      <c r="B28" t="inlineStr">
        <is>
          <t>q_38</t>
        </is>
      </c>
      <c r="C28" t="inlineStr">
        <is>
          <t>L03</t>
        </is>
      </c>
      <c r="D28" t="inlineStr">
        <is>
          <t>L01: - **Miền Li Độ:** Điều kiện |a| ≤ 100 cm/s² tương ứng với vùng vật ở gần vị trí cân bằng (VTCB). Đây là miền li độ.
L02: - **Thời Gian t1:** Thời gian vật đi từ VTCB đến điểm có độ lớn gia tốc |a| = 100 cm/s² là t1 = (T/3) / 4 = T/12.
L03: - **Xác Định Li Độ:** Với t1 = T/12 tính từ VTCB, ta luôn có li độ tương ứng là xa = A/2 = 5 cm.
L04: - **Công Thức Liên Hệ:** ax = ω².xa.
L05: - **Thay Giá Trị xa = A/2:** Với xa = A/2 = 5 cm, ta có ax = 100 cm/s².
L06: - **Suy Ra ω²:** Từ ax = ω².xa, ta có 100 = ω².5, suy ra ω² = 20.
L07: - **Suy Ra ω:** ω = √20 = 2√5 rad/s.
L08: - **Tần Số Dao Động:** f = ω / (2π) = 2√5 / (2π) = √5 / π (Hz).
L09: Tần số dao động của vật là f = √5 / π Hz.</t>
        </is>
      </c>
      <c r="E28" t="inlineStr">
        <is>
          <t>Dòng L03 của em có vấn đề. Em đã viết \( \frac{A}{2} = 5 \text{ cm} \), nhưng theo đề bài, khoảng thời gian để độ lớn gia tốc không vượt quá 100 cm/s² là \( \frac{T}{3} \). Điều này chỉ ra rằng em cần tính li độ \( x_a \) tại thời điểm gia tốc đạt 100 cm/s², chứ không phải là \( \frac{A}{2} \). Theo công thức của lời giải chuẩn, li độ \( x_a \) tại thời điểm gia tốc đạt 100 cm/s² là \( \frac{A}{2} \). Vậy, em nên tính \( x_a \) như thế nào?</t>
        </is>
      </c>
      <c r="F28" t="n">
        <v>0</v>
      </c>
      <c r="G28" t="n">
        <v>2</v>
      </c>
      <c r="H28" t="inlineStr">
        <is>
          <t>Học sinh cần sử dụng giá trị \( \omega^2 = 40 \) từ Lời giải mẫu để tính \( \omega \) và từ đó tìm tần số dao động \( f \).</t>
        </is>
      </c>
      <c r="I28" t="n">
        <v>0</v>
      </c>
      <c r="J28" t="n">
        <v>1</v>
      </c>
    </row>
    <row r="29">
      <c r="A29" t="inlineStr">
        <is>
          <t>sub_28</t>
        </is>
      </c>
      <c r="B29" t="inlineStr">
        <is>
          <t>q_39</t>
        </is>
      </c>
      <c r="C29" t="inlineStr">
        <is>
          <t>L13,L14,L16</t>
        </is>
      </c>
      <c r="D29" t="inlineStr">
        <is>
          <t>L01: #### a) Xác định thông số A và ω:
L02: - Hệ thức dao động được cho là \( \frac{x^2}{25} + \frac{v^2}{250} = 1 \).
L03: - Trong trường hợp này, \( A^2 = 25 \Rightarrow A = 5 \) cm.
L04: - Từ đó, \( (\omega A)^2 = 250 \Rightarrow \omega^2 = 250 / 25 = 10 \Rightarrow \omega = \sqrt{10} \) rad/s.
L05: #### b) Phân tích trạng thái tại t = 2/3 s:
L06: - Li độ của vật tại thời điểm t = 2/3 s là \( x = 2.5 \) cm.
L07: - Vận tốc của vật tại thời điểm t = 2/3 s là \( v \).
L08: - Chúng ta cần tính \( \cos(\phi_t) = \frac{x}{A} = \frac{2.5}{5} = 0.5 \).
L09: - Logic chuyển động: Vật ở li độ dương (x &gt; 0) và đang chuyển động nhanh dần, nên vật đang tiến về vị trí cân bằng (VTCB) từ phía dương.
L10: - Hướng chuyển động: Vật đi theo chiều âm vì vận tốc \( v &lt; 0 \).
L11: - Suy ra pha tại thời điểm t = 2/3 s là \( \phi_t = \pi/3 \) (vì \( \cos(\phi_t) = 0.5 \) và \( \sin(\phi_t) &gt; 0 \)).
L12: #### c) Tính toán omega và phi:
L13: - Từ \( \omega t + \phi = \phi_t \), khi \( t = \frac{2}{3} \) s, \( \phi = \pi/3 \), ta có:
L14: \omega \cdot \frac{2}{3} + \phi = \pi/3 \Rightarrow \omega \cdot \frac{2}{3} = \pi/3 - \phi = \pi/3 - \pi/3 = 0 \Rightarrow \omega = 0
L15: Đây không đúng vì \( \omega \neq 0 \). Thay vào lại:
L16: \omega \cdot \frac{2}{3} + \phi = \pi/3 \Rightarrow \omega \cdot \frac{2}{3} = \pi/3 - \phi = \pi/3 - (-\pi/3) = 2\pi/3 \Rightarrow \omega = 3\sqrt{10}
L17: #### d) Kết luận:
L18: - Phương trình dao động của vật là \( x = 5 \cos(3\sqrt{10}t + \pi/3) \) cm.
L19: - Omega đã được tính là \( \omega = 3\sqrt{10} \) rad/s.
L20: - Phi đã được tính là \( \phi = \pi/3 \) rad.
L21: - Phương trình dao động của vật là \( x = 5 \cos(3\sqrt{10}t + \pi/3) \) cm.</t>
        </is>
      </c>
      <c r="E29" t="inlineStr">
        <is>
          <t>Dòng L14: \(\omega \cdot \frac{2}{3} + \phi = \pi/3\) Học sinh đã làm tròn sai giá trị của \(\omega\) tại L13, dẫn đến kết quả \(\omega = 3\sqrt{10}\) thay vì \(\omega = \pi\). Theo công thức Lời giải chuẩn, ta có \(\omega = \pi\) rad/s. Do đó, tại L14, học sinh nên sử dụng \(\omega = \pi\) thay vì \(3\sqrt{10}\). Hãy thử lại và kiểm tra lại giá trị của \(\omega\) và \(\phi\) sau khi thay đổi?</t>
        </is>
      </c>
      <c r="F29" t="n">
        <v>1</v>
      </c>
      <c r="G29" t="n">
        <v>2</v>
      </c>
      <c r="H29" t="inlineStr">
        <is>
          <t>Theo Lời giải mẫu, tần số góc \( \omega \) được xác định từ \( \omega A^2 = 250 \) và \( A = 5 \) cm, nên \( \omega = \frac{250}{25} = 10 \div \pi = \pi \) rad/s.</t>
        </is>
      </c>
      <c r="I29" t="n">
        <v>0</v>
      </c>
      <c r="J29" t="n">
        <v>1</v>
      </c>
    </row>
    <row r="30">
      <c r="A30" t="inlineStr">
        <is>
          <t>sub_29</t>
        </is>
      </c>
      <c r="B30" t="inlineStr">
        <is>
          <t>q_40</t>
        </is>
      </c>
      <c r="C30" t="inlineStr">
        <is>
          <t>L02</t>
        </is>
      </c>
      <c r="D30" t="inlineStr">
        <is>
          <t>L01: - **Thông số ban đầu:** Biên độ \(A = 4\) cm; Tần số góc \(\omega = 10\pi\) rad/s.
L02: - **Công thức vận tốc:** \(v = x' = -\omega A \sin(\omega t + \phi) = -\omega A \cos(\omega t + \phi + \frac{\pi}{2})\).
L03: - **Thiết lập phương trình:** \(v = 20\pi \cos(10\pi t - \frac{\pi}{3} + \frac{\pi}{2}) = 20\pi \cos(10\pi t + \frac{\pi}{6})\).
L04: - **Theo đề bài:** \(v = 20\pi \cos(10\pi t + \frac{\pi}{6}) = 20\pi \cos(10\pi t + \frac{5\pi}{6}) = 20\pi \cos(10\pi t + \frac{\pi}{6}) = 20\pi \cos(10\pi t + \frac{\pi}{6}) = 20\pi \cos(10\pi t + \frac{\pi}{6}) = 20\pi \cos(10\pi t + \frac{\pi}{6}) = 20\pi \cos(10\pi t + \frac{\pi}{6}) = 20\pi \cos(10\pi t + \frac{\pi}{6}) = 20\pi \cos(1
L05: ....</t>
        </is>
      </c>
      <c r="E30" t="inlineStr">
        <is>
          <t>Học sinh nên sử dụng công thức \( v = -\omega A \sin(\omega t + \phi + \frac{\pi}{2}) \) thay vì \( v = 20\pi \cos(10\pi t + \frac{5\pi}{6}) \). Theo Lời giải mẫu, pha ban đầu của vận tốc là \( \frac{\pi}{6} \), do đó công thức vận tốc đúng là \( v = 20\pi \cos(10\pi t + \frac{\pi}{6}) \).</t>
        </is>
      </c>
      <c r="F30" t="n">
        <v>0</v>
      </c>
      <c r="G30" t="n">
        <v>1</v>
      </c>
      <c r="H30" t="inlineStr">
        <is>
          <t>Dòng L02 của em có vấn đề. Em đã nhầm lẫn giữa biểu thức vận tốc và biểu thức li độ. Theo lời giải chuẩn, biểu thức vận tốc được tính bằng cách đạo hàm phương trình li độ theo thời gian, tức là \( v = -A \omega \sin(\omega t + \phi) \). Trong trường hợp này, em nên đạo hàm phương trình li độ \( x = 4 \cos(10\pi t - \frac{\pi}{3}) \) để tìm ra biểu thức vận tốc đúng. Vậy, em hãy nghĩ xem em cần làm gì để đạo hàm chính xác?</t>
        </is>
      </c>
      <c r="I30" t="n">
        <v>1</v>
      </c>
      <c r="J30" t="n">
        <v>2</v>
      </c>
    </row>
    <row r="31">
      <c r="A31" t="inlineStr">
        <is>
          <t>sub_30</t>
        </is>
      </c>
      <c r="B31" t="inlineStr">
        <is>
          <t>q_40</t>
        </is>
      </c>
      <c r="C31" t="inlineStr">
        <is>
          <t>L08,L09</t>
        </is>
      </c>
      <c r="D31" t="inlineStr">
        <is>
          <t>L01: - **Thông số ban đầu:** Biên độ A = 4 cm; Tần số góc omega = 10.pi (rad/s).
L02: - **Công thức vận tốc:** v = x' = -omega.A.sin(omega.t + phi) = omega.A.cos(omega.t + phi + pi/2).
L03: - **Phương trình vận tốc:** v = 10.pi.4.cos(10.pi.t - π/3 + pi/2) = 40.pi.cos(10.pi.t + π/6).
L04: - **Theo đề bài:** v = 20.pi.sqrt(3) cm/s. Do đó, ta có phương trình: 40.pi.cos(10.pi.t + π/6) = 20.pi.sqrt(3) =&gt; cos(10.pi.t + π/6) = sqrt(3)/2.
L05: - **Tính góc:** alpha = arccos(sqrt(3)/2) = π/6. Suy ra 2 trường hợp pha: (10.pi.t + π/6) = π/6 + 2k.pi hoặc (10.pi.t + π/6) = -π/6 + 2k.pi.
L06: - **Vì vận tốc đang tăng (a &gt; 0), ta chọn pha âm ở nửa dưới đường tròn lượng giác:** 10.pi.t + π/6 = -π/6 + 2k.pi.
L07: - Giải phương trình: 10.pi.t = -π/6 - π/6 + 2k.pi = -π/3 + 2k.pi.
L08: - Suy ra họ nghiệm: t = -π/30 + k/2.
L09: - Với t &gt; 0 nhỏ nhất, chọn k = 1: t = -π/30 + 1/2 = 1/2 - π/30 = 15/30 - π/30 = 14/30 = 7/15 (s).
L10: Thời điểm gần nhất là t = 7/15 s.</t>
        </is>
      </c>
      <c r="E31" t="inlineStr">
        <is>
          <t>Dòng L08: `t == -π/30 + k/2`. Học sinh đã sai ở đây khi giải phương trình. Theo lời giải chuẩn, ta có:
\[ 10\pi t = -\frac{\pi}{3} + 2k\pi \]
Chia cả hai bên cho \(10\pi\), ta được:
\[ t = \frac{-\frac{\pi}{3} + 2k\pi}{10\pi} = \frac{-1 + 6k}{30} \] Học sinh đã bỏ sót phần nhân \(k\) với \(10\pi\) khi chuyển đổi từ góc sang thời gian. Hãy thử lại và kiểm tra lại từng bước nhé?</t>
        </is>
      </c>
      <c r="F31" t="n">
        <v>1</v>
      </c>
      <c r="G31" t="n">
        <v>3</v>
      </c>
      <c r="H31" t="inlineStr">
        <is>
          <t>Học sinh nên thay \( k = 1 \) vào công thức \( t = \frac{-1 + 6k}{30} \) để được \( t = \frac{-1 + 6 \times 1}{30} = \frac{5}{30} = \frac{1}{6} \).</t>
        </is>
      </c>
      <c r="I31" t="n">
        <v>1</v>
      </c>
      <c r="J31" t="n">
        <v>2</v>
      </c>
    </row>
    <row r="32">
      <c r="A32" t="inlineStr">
        <is>
          <t>sub_31</t>
        </is>
      </c>
      <c r="B32" t="inlineStr">
        <is>
          <t>q_40</t>
        </is>
      </c>
      <c r="C32" t="inlineStr">
        <is>
          <t>L03</t>
        </is>
      </c>
      <c r="D32" t="inlineStr">
        <is>
          <t>L01: - Thông số ban đầu: Biên độ A = 4 cm; Tần số góc ω = 10π rad/s.
L02: - Phương trình vận tốc: v = x' = -ωA.sin(ωt + φ) = -10π * 4 * sin(10πt - π/3) = -40π.sin(10πt - π/3).
L03: - Chuyển đổi thành dạng chuẩn: v = 40π.cos(10πt - π/3 + π/2) = 40π.cos(10πt - π/6).
L04: - Theo đề bài, v = 20π√3 cm/s: 40π.cos(10πt - π/6) = 20π√3 =&gt; cos(10πt - π/6) = √3/2.
L05: - Tính góc: α = arccos(√3/2) = π/6. Suy ra 2 trường hợp pha: (10πt - π/6) = π/6 + 2kπ hoặc (10πt - π/6) = -π/6 + 2kπ.
L06: - Vì vận tốc đang tăng (a &gt; 0), ta chọn pha âm ở nửa dưới đường tròn lượng giác: 10πt - π/6 = -π/6 + 2kπ.
L07: - Giải phương trình: 10πt = -π/6 + π/6 + 2kπ = 2kπ.
L08: - Suy ra họ nghiệm: t = k/5.
L09: - Với t &gt; 0 nhỏ nhất, chọn k = 1: t = 1/5 (s).
L10: Thời điểm gần nhất là t = 1/5 s.</t>
        </is>
      </c>
      <c r="E32" t="inlineStr">
        <is>
          <t>Dòng L03 của em có vấn đề. Em đã chuyển đổi từ biểu thức vận tốc \( v = -40\pi \sin(10\pi t - \frac{\pi}{3}) \) sang \( v = 40\pi \cos(10\pi t - \frac{\pi}{3} + \frac{\pi}{2}) \), nhưng theo công thức chuẩn, biểu thức đúng là \( v = 40\pi \cos(10\pi t - \frac{\pi}{6}) \). Điều này xảy ra do em đã cộng sai góc. Hãy kiểm tra lại quy tắc chuyển đổi giữa sin và cos, và nhớ rằng \( \sin(x) = \cos(x - \frac{\pi}{2}) \). Em có thể làm lại bước này không?</t>
        </is>
      </c>
      <c r="F32" t="n">
        <v>0</v>
      </c>
      <c r="G32" t="n">
        <v>1</v>
      </c>
      <c r="H32" t="inlineStr">
        <is>
          <t>Học sinh nên sử dụng pha ban đầu từ Lời giải mẫu là \(-\frac{\pi}{3}\) thay vì \(-\frac{\pi}{6}\).</t>
        </is>
      </c>
      <c r="I32" t="n">
        <v>0</v>
      </c>
      <c r="J32"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s="1" t="inlineStr">
        <is>
          <t>submission_id</t>
        </is>
      </c>
      <c r="B1" s="1" t="inlineStr">
        <is>
          <t>Tutor_A_Identity</t>
        </is>
      </c>
      <c r="C1" s="1" t="inlineStr">
        <is>
          <t>Tutor_B_Identity</t>
        </is>
      </c>
      <c r="D1" s="1" t="inlineStr">
        <is>
          <t>S0_Blind_Faithful</t>
        </is>
      </c>
      <c r="E1" s="1" t="inlineStr">
        <is>
          <t>S0_Blind_Usefulness</t>
        </is>
      </c>
      <c r="F1" s="1" t="inlineStr">
        <is>
          <t>S3_Blind_Faithful</t>
        </is>
      </c>
      <c r="G1" s="1" t="inlineStr">
        <is>
          <t>S3_Blind_Usefulness</t>
        </is>
      </c>
    </row>
    <row r="2">
      <c r="A2" t="inlineStr">
        <is>
          <t>sub_01</t>
        </is>
      </c>
      <c r="B2" t="inlineStr">
        <is>
          <t>S3_NeuroSymbolic</t>
        </is>
      </c>
      <c r="C2" t="inlineStr">
        <is>
          <t>S0_PureLLM</t>
        </is>
      </c>
      <c r="D2">
        <f>'8_Blind_Human_Grading_Form'!I2</f>
        <v/>
      </c>
      <c r="E2">
        <f>'8_Blind_Human_Grading_Form'!J2</f>
        <v/>
      </c>
      <c r="F2">
        <f>'8_Blind_Human_Grading_Form'!F2</f>
        <v/>
      </c>
      <c r="G2">
        <f>'8_Blind_Human_Grading_Form'!G2</f>
        <v/>
      </c>
    </row>
    <row r="3">
      <c r="A3" t="inlineStr">
        <is>
          <t>sub_02</t>
        </is>
      </c>
      <c r="B3" t="inlineStr">
        <is>
          <t>S0_PureLLM</t>
        </is>
      </c>
      <c r="C3" t="inlineStr">
        <is>
          <t>S3_NeuroSymbolic</t>
        </is>
      </c>
      <c r="D3">
        <f>'8_Blind_Human_Grading_Form'!F3</f>
        <v/>
      </c>
      <c r="E3">
        <f>'8_Blind_Human_Grading_Form'!G3</f>
        <v/>
      </c>
      <c r="F3">
        <f>'8_Blind_Human_Grading_Form'!I3</f>
        <v/>
      </c>
      <c r="G3">
        <f>'8_Blind_Human_Grading_Form'!J3</f>
        <v/>
      </c>
    </row>
    <row r="4">
      <c r="A4" t="inlineStr">
        <is>
          <t>sub_03</t>
        </is>
      </c>
      <c r="B4" t="inlineStr">
        <is>
          <t>S0_PureLLM</t>
        </is>
      </c>
      <c r="C4" t="inlineStr">
        <is>
          <t>S3_NeuroSymbolic</t>
        </is>
      </c>
      <c r="D4">
        <f>'8_Blind_Human_Grading_Form'!F4</f>
        <v/>
      </c>
      <c r="E4">
        <f>'8_Blind_Human_Grading_Form'!G4</f>
        <v/>
      </c>
      <c r="F4">
        <f>'8_Blind_Human_Grading_Form'!I4</f>
        <v/>
      </c>
      <c r="G4">
        <f>'8_Blind_Human_Grading_Form'!J4</f>
        <v/>
      </c>
    </row>
    <row r="5">
      <c r="A5" t="inlineStr">
        <is>
          <t>sub_04</t>
        </is>
      </c>
      <c r="B5" t="inlineStr">
        <is>
          <t>S3_NeuroSymbolic</t>
        </is>
      </c>
      <c r="C5" t="inlineStr">
        <is>
          <t>S0_PureLLM</t>
        </is>
      </c>
      <c r="D5">
        <f>'8_Blind_Human_Grading_Form'!I5</f>
        <v/>
      </c>
      <c r="E5">
        <f>'8_Blind_Human_Grading_Form'!J5</f>
        <v/>
      </c>
      <c r="F5">
        <f>'8_Blind_Human_Grading_Form'!F5</f>
        <v/>
      </c>
      <c r="G5">
        <f>'8_Blind_Human_Grading_Form'!G5</f>
        <v/>
      </c>
    </row>
    <row r="6">
      <c r="A6" t="inlineStr">
        <is>
          <t>sub_05</t>
        </is>
      </c>
      <c r="B6" t="inlineStr">
        <is>
          <t>S0_PureLLM</t>
        </is>
      </c>
      <c r="C6" t="inlineStr">
        <is>
          <t>S3_NeuroSymbolic</t>
        </is>
      </c>
      <c r="D6">
        <f>'8_Blind_Human_Grading_Form'!F6</f>
        <v/>
      </c>
      <c r="E6">
        <f>'8_Blind_Human_Grading_Form'!G6</f>
        <v/>
      </c>
      <c r="F6">
        <f>'8_Blind_Human_Grading_Form'!I6</f>
        <v/>
      </c>
      <c r="G6">
        <f>'8_Blind_Human_Grading_Form'!J6</f>
        <v/>
      </c>
    </row>
    <row r="7">
      <c r="A7" t="inlineStr">
        <is>
          <t>sub_06</t>
        </is>
      </c>
      <c r="B7" t="inlineStr">
        <is>
          <t>S0_PureLLM</t>
        </is>
      </c>
      <c r="C7" t="inlineStr">
        <is>
          <t>S3_NeuroSymbolic</t>
        </is>
      </c>
      <c r="D7">
        <f>'8_Blind_Human_Grading_Form'!F7</f>
        <v/>
      </c>
      <c r="E7">
        <f>'8_Blind_Human_Grading_Form'!G7</f>
        <v/>
      </c>
      <c r="F7">
        <f>'8_Blind_Human_Grading_Form'!I7</f>
        <v/>
      </c>
      <c r="G7">
        <f>'8_Blind_Human_Grading_Form'!J7</f>
        <v/>
      </c>
    </row>
    <row r="8">
      <c r="A8" t="inlineStr">
        <is>
          <t>sub_07</t>
        </is>
      </c>
      <c r="B8" t="inlineStr">
        <is>
          <t>S0_PureLLM</t>
        </is>
      </c>
      <c r="C8" t="inlineStr">
        <is>
          <t>S3_NeuroSymbolic</t>
        </is>
      </c>
      <c r="D8">
        <f>'8_Blind_Human_Grading_Form'!F8</f>
        <v/>
      </c>
      <c r="E8">
        <f>'8_Blind_Human_Grading_Form'!G8</f>
        <v/>
      </c>
      <c r="F8">
        <f>'8_Blind_Human_Grading_Form'!I8</f>
        <v/>
      </c>
      <c r="G8">
        <f>'8_Blind_Human_Grading_Form'!J8</f>
        <v/>
      </c>
    </row>
    <row r="9">
      <c r="A9" t="inlineStr">
        <is>
          <t>sub_08</t>
        </is>
      </c>
      <c r="B9" t="inlineStr">
        <is>
          <t>S0_PureLLM</t>
        </is>
      </c>
      <c r="C9" t="inlineStr">
        <is>
          <t>S3_NeuroSymbolic</t>
        </is>
      </c>
      <c r="D9">
        <f>'8_Blind_Human_Grading_Form'!F9</f>
        <v/>
      </c>
      <c r="E9">
        <f>'8_Blind_Human_Grading_Form'!G9</f>
        <v/>
      </c>
      <c r="F9">
        <f>'8_Blind_Human_Grading_Form'!I9</f>
        <v/>
      </c>
      <c r="G9">
        <f>'8_Blind_Human_Grading_Form'!J9</f>
        <v/>
      </c>
    </row>
    <row r="10">
      <c r="A10" t="inlineStr">
        <is>
          <t>sub_09</t>
        </is>
      </c>
      <c r="B10" t="inlineStr">
        <is>
          <t>S3_NeuroSymbolic</t>
        </is>
      </c>
      <c r="C10" t="inlineStr">
        <is>
          <t>S0_PureLLM</t>
        </is>
      </c>
      <c r="D10">
        <f>'8_Blind_Human_Grading_Form'!I10</f>
        <v/>
      </c>
      <c r="E10">
        <f>'8_Blind_Human_Grading_Form'!J10</f>
        <v/>
      </c>
      <c r="F10">
        <f>'8_Blind_Human_Grading_Form'!F10</f>
        <v/>
      </c>
      <c r="G10">
        <f>'8_Blind_Human_Grading_Form'!G10</f>
        <v/>
      </c>
    </row>
    <row r="11">
      <c r="A11" t="inlineStr">
        <is>
          <t>sub_10</t>
        </is>
      </c>
      <c r="B11" t="inlineStr">
        <is>
          <t>S0_PureLLM</t>
        </is>
      </c>
      <c r="C11" t="inlineStr">
        <is>
          <t>S3_NeuroSymbolic</t>
        </is>
      </c>
      <c r="D11">
        <f>'8_Blind_Human_Grading_Form'!F11</f>
        <v/>
      </c>
      <c r="E11">
        <f>'8_Blind_Human_Grading_Form'!G11</f>
        <v/>
      </c>
      <c r="F11">
        <f>'8_Blind_Human_Grading_Form'!I11</f>
        <v/>
      </c>
      <c r="G11">
        <f>'8_Blind_Human_Grading_Form'!J11</f>
        <v/>
      </c>
    </row>
    <row r="12">
      <c r="A12" t="inlineStr">
        <is>
          <t>sub_11</t>
        </is>
      </c>
      <c r="B12" t="inlineStr">
        <is>
          <t>S3_NeuroSymbolic</t>
        </is>
      </c>
      <c r="C12" t="inlineStr">
        <is>
          <t>S0_PureLLM</t>
        </is>
      </c>
      <c r="D12">
        <f>'8_Blind_Human_Grading_Form'!I12</f>
        <v/>
      </c>
      <c r="E12">
        <f>'8_Blind_Human_Grading_Form'!J12</f>
        <v/>
      </c>
      <c r="F12">
        <f>'8_Blind_Human_Grading_Form'!F12</f>
        <v/>
      </c>
      <c r="G12">
        <f>'8_Blind_Human_Grading_Form'!G12</f>
        <v/>
      </c>
    </row>
    <row r="13">
      <c r="A13" t="inlineStr">
        <is>
          <t>sub_12</t>
        </is>
      </c>
      <c r="B13" t="inlineStr">
        <is>
          <t>S3_NeuroSymbolic</t>
        </is>
      </c>
      <c r="C13" t="inlineStr">
        <is>
          <t>S0_PureLLM</t>
        </is>
      </c>
      <c r="D13">
        <f>'8_Blind_Human_Grading_Form'!I13</f>
        <v/>
      </c>
      <c r="E13">
        <f>'8_Blind_Human_Grading_Form'!J13</f>
        <v/>
      </c>
      <c r="F13">
        <f>'8_Blind_Human_Grading_Form'!F13</f>
        <v/>
      </c>
      <c r="G13">
        <f>'8_Blind_Human_Grading_Form'!G13</f>
        <v/>
      </c>
    </row>
    <row r="14">
      <c r="A14" t="inlineStr">
        <is>
          <t>sub_13</t>
        </is>
      </c>
      <c r="B14" t="inlineStr">
        <is>
          <t>S3_NeuroSymbolic</t>
        </is>
      </c>
      <c r="C14" t="inlineStr">
        <is>
          <t>S0_PureLLM</t>
        </is>
      </c>
      <c r="D14">
        <f>'8_Blind_Human_Grading_Form'!I14</f>
        <v/>
      </c>
      <c r="E14">
        <f>'8_Blind_Human_Grading_Form'!J14</f>
        <v/>
      </c>
      <c r="F14">
        <f>'8_Blind_Human_Grading_Form'!F14</f>
        <v/>
      </c>
      <c r="G14">
        <f>'8_Blind_Human_Grading_Form'!G14</f>
        <v/>
      </c>
    </row>
    <row r="15">
      <c r="A15" t="inlineStr">
        <is>
          <t>sub_14</t>
        </is>
      </c>
      <c r="B15" t="inlineStr">
        <is>
          <t>S3_NeuroSymbolic</t>
        </is>
      </c>
      <c r="C15" t="inlineStr">
        <is>
          <t>S0_PureLLM</t>
        </is>
      </c>
      <c r="D15">
        <f>'8_Blind_Human_Grading_Form'!I15</f>
        <v/>
      </c>
      <c r="E15">
        <f>'8_Blind_Human_Grading_Form'!J15</f>
        <v/>
      </c>
      <c r="F15">
        <f>'8_Blind_Human_Grading_Form'!F15</f>
        <v/>
      </c>
      <c r="G15">
        <f>'8_Blind_Human_Grading_Form'!G15</f>
        <v/>
      </c>
    </row>
    <row r="16">
      <c r="A16" t="inlineStr">
        <is>
          <t>sub_15</t>
        </is>
      </c>
      <c r="B16" t="inlineStr">
        <is>
          <t>S3_NeuroSymbolic</t>
        </is>
      </c>
      <c r="C16" t="inlineStr">
        <is>
          <t>S0_PureLLM</t>
        </is>
      </c>
      <c r="D16">
        <f>'8_Blind_Human_Grading_Form'!I16</f>
        <v/>
      </c>
      <c r="E16">
        <f>'8_Blind_Human_Grading_Form'!J16</f>
        <v/>
      </c>
      <c r="F16">
        <f>'8_Blind_Human_Grading_Form'!F16</f>
        <v/>
      </c>
      <c r="G16">
        <f>'8_Blind_Human_Grading_Form'!G16</f>
        <v/>
      </c>
    </row>
    <row r="17">
      <c r="A17" t="inlineStr">
        <is>
          <t>sub_16</t>
        </is>
      </c>
      <c r="B17" t="inlineStr">
        <is>
          <t>S0_PureLLM</t>
        </is>
      </c>
      <c r="C17" t="inlineStr">
        <is>
          <t>S3_NeuroSymbolic</t>
        </is>
      </c>
      <c r="D17">
        <f>'8_Blind_Human_Grading_Form'!F17</f>
        <v/>
      </c>
      <c r="E17">
        <f>'8_Blind_Human_Grading_Form'!G17</f>
        <v/>
      </c>
      <c r="F17">
        <f>'8_Blind_Human_Grading_Form'!I17</f>
        <v/>
      </c>
      <c r="G17">
        <f>'8_Blind_Human_Grading_Form'!J17</f>
        <v/>
      </c>
    </row>
    <row r="18">
      <c r="A18" t="inlineStr">
        <is>
          <t>sub_17</t>
        </is>
      </c>
      <c r="B18" t="inlineStr">
        <is>
          <t>S3_NeuroSymbolic</t>
        </is>
      </c>
      <c r="C18" t="inlineStr">
        <is>
          <t>S0_PureLLM</t>
        </is>
      </c>
      <c r="D18">
        <f>'8_Blind_Human_Grading_Form'!I18</f>
        <v/>
      </c>
      <c r="E18">
        <f>'8_Blind_Human_Grading_Form'!J18</f>
        <v/>
      </c>
      <c r="F18">
        <f>'8_Blind_Human_Grading_Form'!F18</f>
        <v/>
      </c>
      <c r="G18">
        <f>'8_Blind_Human_Grading_Form'!G18</f>
        <v/>
      </c>
    </row>
    <row r="19">
      <c r="A19" t="inlineStr">
        <is>
          <t>sub_18</t>
        </is>
      </c>
      <c r="B19" t="inlineStr">
        <is>
          <t>S3_NeuroSymbolic</t>
        </is>
      </c>
      <c r="C19" t="inlineStr">
        <is>
          <t>S0_PureLLM</t>
        </is>
      </c>
      <c r="D19">
        <f>'8_Blind_Human_Grading_Form'!I19</f>
        <v/>
      </c>
      <c r="E19">
        <f>'8_Blind_Human_Grading_Form'!J19</f>
        <v/>
      </c>
      <c r="F19">
        <f>'8_Blind_Human_Grading_Form'!F19</f>
        <v/>
      </c>
      <c r="G19">
        <f>'8_Blind_Human_Grading_Form'!G19</f>
        <v/>
      </c>
    </row>
    <row r="20">
      <c r="A20" t="inlineStr">
        <is>
          <t>sub_19</t>
        </is>
      </c>
      <c r="B20" t="inlineStr">
        <is>
          <t>S0_PureLLM</t>
        </is>
      </c>
      <c r="C20" t="inlineStr">
        <is>
          <t>S3_NeuroSymbolic</t>
        </is>
      </c>
      <c r="D20">
        <f>'8_Blind_Human_Grading_Form'!F20</f>
        <v/>
      </c>
      <c r="E20">
        <f>'8_Blind_Human_Grading_Form'!G20</f>
        <v/>
      </c>
      <c r="F20">
        <f>'8_Blind_Human_Grading_Form'!I20</f>
        <v/>
      </c>
      <c r="G20">
        <f>'8_Blind_Human_Grading_Form'!J20</f>
        <v/>
      </c>
    </row>
    <row r="21">
      <c r="A21" t="inlineStr">
        <is>
          <t>sub_20</t>
        </is>
      </c>
      <c r="B21" t="inlineStr">
        <is>
          <t>S0_PureLLM</t>
        </is>
      </c>
      <c r="C21" t="inlineStr">
        <is>
          <t>S3_NeuroSymbolic</t>
        </is>
      </c>
      <c r="D21">
        <f>'8_Blind_Human_Grading_Form'!F21</f>
        <v/>
      </c>
      <c r="E21">
        <f>'8_Blind_Human_Grading_Form'!G21</f>
        <v/>
      </c>
      <c r="F21">
        <f>'8_Blind_Human_Grading_Form'!I21</f>
        <v/>
      </c>
      <c r="G21">
        <f>'8_Blind_Human_Grading_Form'!J21</f>
        <v/>
      </c>
    </row>
    <row r="22">
      <c r="A22" t="inlineStr">
        <is>
          <t>sub_21</t>
        </is>
      </c>
      <c r="B22" t="inlineStr">
        <is>
          <t>S0_PureLLM</t>
        </is>
      </c>
      <c r="C22" t="inlineStr">
        <is>
          <t>S3_NeuroSymbolic</t>
        </is>
      </c>
      <c r="D22">
        <f>'8_Blind_Human_Grading_Form'!F22</f>
        <v/>
      </c>
      <c r="E22">
        <f>'8_Blind_Human_Grading_Form'!G22</f>
        <v/>
      </c>
      <c r="F22">
        <f>'8_Blind_Human_Grading_Form'!I22</f>
        <v/>
      </c>
      <c r="G22">
        <f>'8_Blind_Human_Grading_Form'!J22</f>
        <v/>
      </c>
    </row>
    <row r="23">
      <c r="A23" t="inlineStr">
        <is>
          <t>sub_22</t>
        </is>
      </c>
      <c r="B23" t="inlineStr">
        <is>
          <t>S3_NeuroSymbolic</t>
        </is>
      </c>
      <c r="C23" t="inlineStr">
        <is>
          <t>S0_PureLLM</t>
        </is>
      </c>
      <c r="D23">
        <f>'8_Blind_Human_Grading_Form'!I23</f>
        <v/>
      </c>
      <c r="E23">
        <f>'8_Blind_Human_Grading_Form'!J23</f>
        <v/>
      </c>
      <c r="F23">
        <f>'8_Blind_Human_Grading_Form'!F23</f>
        <v/>
      </c>
      <c r="G23">
        <f>'8_Blind_Human_Grading_Form'!G23</f>
        <v/>
      </c>
    </row>
    <row r="24">
      <c r="A24" t="inlineStr">
        <is>
          <t>sub_23</t>
        </is>
      </c>
      <c r="B24" t="inlineStr">
        <is>
          <t>S3_NeuroSymbolic</t>
        </is>
      </c>
      <c r="C24" t="inlineStr">
        <is>
          <t>S0_PureLLM</t>
        </is>
      </c>
      <c r="D24">
        <f>'8_Blind_Human_Grading_Form'!I24</f>
        <v/>
      </c>
      <c r="E24">
        <f>'8_Blind_Human_Grading_Form'!J24</f>
        <v/>
      </c>
      <c r="F24">
        <f>'8_Blind_Human_Grading_Form'!F24</f>
        <v/>
      </c>
      <c r="G24">
        <f>'8_Blind_Human_Grading_Form'!G24</f>
        <v/>
      </c>
    </row>
    <row r="25">
      <c r="A25" t="inlineStr">
        <is>
          <t>sub_24</t>
        </is>
      </c>
      <c r="B25" t="inlineStr">
        <is>
          <t>S3_NeuroSymbolic</t>
        </is>
      </c>
      <c r="C25" t="inlineStr">
        <is>
          <t>S0_PureLLM</t>
        </is>
      </c>
      <c r="D25">
        <f>'8_Blind_Human_Grading_Form'!I25</f>
        <v/>
      </c>
      <c r="E25">
        <f>'8_Blind_Human_Grading_Form'!J25</f>
        <v/>
      </c>
      <c r="F25">
        <f>'8_Blind_Human_Grading_Form'!F25</f>
        <v/>
      </c>
      <c r="G25">
        <f>'8_Blind_Human_Grading_Form'!G25</f>
        <v/>
      </c>
    </row>
    <row r="26">
      <c r="A26" t="inlineStr">
        <is>
          <t>sub_25</t>
        </is>
      </c>
      <c r="B26" t="inlineStr">
        <is>
          <t>S0_PureLLM</t>
        </is>
      </c>
      <c r="C26" t="inlineStr">
        <is>
          <t>S3_NeuroSymbolic</t>
        </is>
      </c>
      <c r="D26">
        <f>'8_Blind_Human_Grading_Form'!F26</f>
        <v/>
      </c>
      <c r="E26">
        <f>'8_Blind_Human_Grading_Form'!G26</f>
        <v/>
      </c>
      <c r="F26">
        <f>'8_Blind_Human_Grading_Form'!I26</f>
        <v/>
      </c>
      <c r="G26">
        <f>'8_Blind_Human_Grading_Form'!J26</f>
        <v/>
      </c>
    </row>
    <row r="27">
      <c r="A27" t="inlineStr">
        <is>
          <t>sub_26</t>
        </is>
      </c>
      <c r="B27" t="inlineStr">
        <is>
          <t>S3_NeuroSymbolic</t>
        </is>
      </c>
      <c r="C27" t="inlineStr">
        <is>
          <t>S0_PureLLM</t>
        </is>
      </c>
      <c r="D27">
        <f>'8_Blind_Human_Grading_Form'!I27</f>
        <v/>
      </c>
      <c r="E27">
        <f>'8_Blind_Human_Grading_Form'!J27</f>
        <v/>
      </c>
      <c r="F27">
        <f>'8_Blind_Human_Grading_Form'!F27</f>
        <v/>
      </c>
      <c r="G27">
        <f>'8_Blind_Human_Grading_Form'!G27</f>
        <v/>
      </c>
    </row>
    <row r="28">
      <c r="A28" t="inlineStr">
        <is>
          <t>sub_27</t>
        </is>
      </c>
      <c r="B28" t="inlineStr">
        <is>
          <t>S3_NeuroSymbolic</t>
        </is>
      </c>
      <c r="C28" t="inlineStr">
        <is>
          <t>S0_PureLLM</t>
        </is>
      </c>
      <c r="D28">
        <f>'8_Blind_Human_Grading_Form'!I28</f>
        <v/>
      </c>
      <c r="E28">
        <f>'8_Blind_Human_Grading_Form'!J28</f>
        <v/>
      </c>
      <c r="F28">
        <f>'8_Blind_Human_Grading_Form'!F28</f>
        <v/>
      </c>
      <c r="G28">
        <f>'8_Blind_Human_Grading_Form'!G28</f>
        <v/>
      </c>
    </row>
    <row r="29">
      <c r="A29" t="inlineStr">
        <is>
          <t>sub_28</t>
        </is>
      </c>
      <c r="B29" t="inlineStr">
        <is>
          <t>S3_NeuroSymbolic</t>
        </is>
      </c>
      <c r="C29" t="inlineStr">
        <is>
          <t>S0_PureLLM</t>
        </is>
      </c>
      <c r="D29">
        <f>'8_Blind_Human_Grading_Form'!I29</f>
        <v/>
      </c>
      <c r="E29">
        <f>'8_Blind_Human_Grading_Form'!J29</f>
        <v/>
      </c>
      <c r="F29">
        <f>'8_Blind_Human_Grading_Form'!F29</f>
        <v/>
      </c>
      <c r="G29">
        <f>'8_Blind_Human_Grading_Form'!G29</f>
        <v/>
      </c>
    </row>
    <row r="30">
      <c r="A30" t="inlineStr">
        <is>
          <t>sub_29</t>
        </is>
      </c>
      <c r="B30" t="inlineStr">
        <is>
          <t>S0_PureLLM</t>
        </is>
      </c>
      <c r="C30" t="inlineStr">
        <is>
          <t>S3_NeuroSymbolic</t>
        </is>
      </c>
      <c r="D30">
        <f>'8_Blind_Human_Grading_Form'!F30</f>
        <v/>
      </c>
      <c r="E30">
        <f>'8_Blind_Human_Grading_Form'!G30</f>
        <v/>
      </c>
      <c r="F30">
        <f>'8_Blind_Human_Grading_Form'!I30</f>
        <v/>
      </c>
      <c r="G30">
        <f>'8_Blind_Human_Grading_Form'!J30</f>
        <v/>
      </c>
    </row>
    <row r="31">
      <c r="A31" t="inlineStr">
        <is>
          <t>sub_30</t>
        </is>
      </c>
      <c r="B31" t="inlineStr">
        <is>
          <t>S3_NeuroSymbolic</t>
        </is>
      </c>
      <c r="C31" t="inlineStr">
        <is>
          <t>S0_PureLLM</t>
        </is>
      </c>
      <c r="D31">
        <f>'8_Blind_Human_Grading_Form'!I31</f>
        <v/>
      </c>
      <c r="E31">
        <f>'8_Blind_Human_Grading_Form'!J31</f>
        <v/>
      </c>
      <c r="F31">
        <f>'8_Blind_Human_Grading_Form'!F31</f>
        <v/>
      </c>
      <c r="G31">
        <f>'8_Blind_Human_Grading_Form'!G31</f>
        <v/>
      </c>
    </row>
    <row r="32">
      <c r="A32" t="inlineStr">
        <is>
          <t>sub_31</t>
        </is>
      </c>
      <c r="B32" t="inlineStr">
        <is>
          <t>S3_NeuroSymbolic</t>
        </is>
      </c>
      <c r="C32" t="inlineStr">
        <is>
          <t>S0_PureLLM</t>
        </is>
      </c>
      <c r="D32">
        <f>'8_Blind_Human_Grading_Form'!I32</f>
        <v/>
      </c>
      <c r="E32">
        <f>'8_Blind_Human_Grading_Form'!J32</f>
        <v/>
      </c>
      <c r="F32">
        <f>'8_Blind_Human_Grading_Form'!F32</f>
        <v/>
      </c>
      <c r="G32">
        <f>'8_Blind_Human_Grading_Form'!G32</f>
        <v/>
      </c>
    </row>
    <row r="33">
      <c r="A33" t="inlineStr">
        <is>
          <t>SUMMARY_MEAN</t>
        </is>
      </c>
      <c r="B33" t="inlineStr">
        <is>
          <t>Auto-Unblinded Mean</t>
        </is>
      </c>
      <c r="C33" t="inlineStr">
        <is>
          <t>(Fill Sheet 8 first)</t>
        </is>
      </c>
      <c r="D33">
        <f>IF(COUNT(D2:D32)&gt;0, TEXT(AVERAGE(D2:D32)*100,"0.0")&amp;"% ("&amp;COUNTIF(D2:D32,1)&amp;"/"&amp;COUNT(D2:D32)&amp;")", "Pending Blind Human Grade (Sheet 8)")</f>
        <v/>
      </c>
      <c r="E33">
        <f>IF(COUNT(E2:E32)&gt;0, TEXT(AVERAGE(E2:E32),"0.00")&amp;" / 3.00", "Pending Blind Human Grade (Sheet 8)")</f>
        <v/>
      </c>
      <c r="F33">
        <f>IF(COUNT(F2:F32)&gt;0, TEXT(AVERAGE(F2:F32)*100,"0.0")&amp;"% ("&amp;COUNTIF(F2:F32,1)&amp;"/"&amp;COUNT(F2:F32)&amp;")", "Pending Blind Human Grade (Sheet 8)")</f>
        <v/>
      </c>
      <c r="G33">
        <f>IF(COUNT(G2:G32)&gt;0, TEXT(AVERAGE(G2:G32),"0.00")&amp;" / 3.00", "Pending Blind Human Grade (Sheet 8)")</f>
        <v/>
      </c>
    </row>
    <row r="34">
      <c r="A34" t="inlineStr">
        <is>
          <t>SUMMARY_LEVELS_3_2_1</t>
        </is>
      </c>
      <c r="B34" t="inlineStr">
        <is>
          <t>Rubric Count 3/2/1</t>
        </is>
      </c>
      <c r="C34" t="inlineStr">
        <is>
          <t>(Fill Sheet 8 first)</t>
        </is>
      </c>
      <c r="E34">
        <f>IF(COUNT(E2:E32)&gt;0, COUNTIF(E2:E32,3)&amp;" / "&amp;COUNTIF(E2:E32,2)&amp;" / "&amp;COUNTIF(E2:E32,1), "Pending Blind Human Grade (Sheet 8)")</f>
        <v/>
      </c>
      <c r="G34">
        <f>IF(COUNT(G2:G32)&gt;0, COUNTIF(G2:G32,3)&amp;" / "&amp;COUNTIF(G2:G32,2)&amp;" / "&amp;COUNTIF(G2:G32,1), "Pending Blind Human Grade (Sheet 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2026-10-25T18:06:30Z</dcterms:created>
  <dcterms:modified xmlns:dcterms="http://purl.org/dc/terms/" xmlns:xsi="http://www.w3.org/2001/XMLSchema-instance" xsi:type="dcterms:W3CDTF">2026-10-26T08:16:47Z</dcterms:modified>
</cp:coreProperties>
</file>